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 and Setup" sheetId="1" state="visible" r:id="rId3"/>
    <sheet name="Dashboard" sheetId="2" state="visible" r:id="rId4"/>
    <sheet name="PM Gates 1-7" sheetId="3" state="visible" r:id="rId5"/>
    <sheet name="SDLC G0-G6" sheetId="4" state="visible" r:id="rId6"/>
    <sheet name="Artefact Floor" sheetId="5" state="visible" r:id="rId7"/>
    <sheet name="Framework Alignment" sheetId="6" state="visible" r:id="rId8"/>
    <sheet name="Risk and Issue Register" sheetId="7" state="visible" r:id="rId9"/>
    <sheet name="Change Requests" sheetId="8" state="visible" r:id="rId10"/>
    <sheet name="Exceptions" sheetId="9" state="visible" r:id="rId11"/>
    <sheet name="Emergency Changes" sheetId="10" state="visible" r:id="rId12"/>
    <sheet name="Decision Log" sheetId="11" state="visible" r:id="rId13"/>
    <sheet name="Measure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<sst xmlns="http://schemas.openxmlformats.org/spreadsheetml/2006/main" count="1774" uniqueCount="826">
  <si>
    <t xml:space="preserve">KenAddme IT Links - Project Build Status Tracker</t>
  </si>
  <si>
    <t xml:space="preserve">Two aligned governance tracks: Project Management (Gates 1-7) and Software Development &amp; Engineering (G0-G6)</t>
  </si>
  <si>
    <t xml:space="preserve">How to use this workbook</t>
  </si>
  <si>
    <t xml:space="preserve">- Fill in only the shaded cells. Every unshaded cell is either a heading, a framework requirement or a formula.</t>
  </si>
  <si>
    <t xml:space="preserve">- Project details below feed nothing automatically - they are the controlled header for the whole tracker. Complete them first.</t>
  </si>
  <si>
    <t xml:space="preserve">- 'PM Track' and 'SDLC Track' hold one row per mandatory evidence item. Set the Status column from the drop-down list, name an owner, and record where the evidence actually lives.</t>
  </si>
  <si>
    <t xml:space="preserve">- 'Dashboard' calculates gate completion from those two sheets. Do not type over its formulas.</t>
  </si>
  <si>
    <t xml:space="preserve">- Set a row to 'Not applicable' only where tailoring permits it. Tailoring must not fall below the Appendix A artefact floor without an approved exception - log that exception on the 'Exceptions' sheet.</t>
  </si>
  <si>
    <t xml:space="preserve">- A gate is not passed because the work is finished. It is passed when the evidence exists, the named authority decides, and the decision is recorded.</t>
  </si>
  <si>
    <t xml:space="preserve">Example of a completed tracker row</t>
  </si>
  <si>
    <t xml:space="preserve">Column</t>
  </si>
  <si>
    <t xml:space="preserve">Example entry</t>
  </si>
  <si>
    <t xml:space="preserve">Note</t>
  </si>
  <si>
    <t xml:space="preserve">Gate</t>
  </si>
  <si>
    <t xml:space="preserve">G2</t>
  </si>
  <si>
    <t xml:space="preserve">Pre-filled - do not edit</t>
  </si>
  <si>
    <t xml:space="preserve">Required evidence</t>
  </si>
  <si>
    <t xml:space="preserve">Threat model and privacy assessment</t>
  </si>
  <si>
    <t xml:space="preserve">Status</t>
  </si>
  <si>
    <t xml:space="preserve">Complete</t>
  </si>
  <si>
    <t xml:space="preserve">Choose from the drop-down list</t>
  </si>
  <si>
    <t xml:space="preserve">Owner</t>
  </si>
  <si>
    <t xml:space="preserve">A. Mensah, Security and Privacy Reviewer</t>
  </si>
  <si>
    <t xml:space="preserve">One named person, not a team</t>
  </si>
  <si>
    <t xml:space="preserve">Due date</t>
  </si>
  <si>
    <t xml:space="preserve">2026-10-24</t>
  </si>
  <si>
    <t xml:space="preserve">Use YYYY-MM-DD</t>
  </si>
  <si>
    <t xml:space="preserve">Date completed</t>
  </si>
  <si>
    <t xml:space="preserve">2026-10-21</t>
  </si>
  <si>
    <t xml:space="preserve">Blank until the evidence is accepted</t>
  </si>
  <si>
    <t xml:space="preserve">Evidence reference</t>
  </si>
  <si>
    <t xml:space="preserve">REPO/docs/security/threat-model-v2.md (rev 2026-10-21)</t>
  </si>
  <si>
    <t xml:space="preserve">Where the record actually lives</t>
  </si>
  <si>
    <t xml:space="preserve">Notes</t>
  </si>
  <si>
    <t xml:space="preserve">Two residual risks accepted by the Sponsor at G2</t>
  </si>
  <si>
    <t xml:space="preserve">Conditions, deviations, links</t>
  </si>
  <si>
    <t xml:space="preserve">Project details</t>
  </si>
  <si>
    <t xml:space="preserve">Field</t>
  </si>
  <si>
    <t xml:space="preserve">Value</t>
  </si>
  <si>
    <t xml:space="preserve">Guidance</t>
  </si>
  <si>
    <t xml:space="preserve">Project / product name</t>
  </si>
  <si>
    <t xml:space="preserve">Name as it appears in the project register</t>
  </si>
  <si>
    <t xml:space="preserve">Project register ID</t>
  </si>
  <si>
    <t xml:space="preserve">Unique reference</t>
  </si>
  <si>
    <t xml:space="preserve">Project class (PM)</t>
  </si>
  <si>
    <t xml:space="preserve">Class A - Strategic/High Risk | Class B - Standard/Medium Risk | Class C - Small/Low Risk</t>
  </si>
  <si>
    <t xml:space="preserve">Software class (SDLC)</t>
  </si>
  <si>
    <t xml:space="preserve">Class 1 Experimental | Class 2 Standard | Class 3 High | Class 4 Critical</t>
  </si>
  <si>
    <t xml:space="preserve">Classification rationale</t>
  </si>
  <si>
    <t xml:space="preserve">Highest applicable condition controls the class</t>
  </si>
  <si>
    <t xml:space="preserve">Executive / Project Authority</t>
  </si>
  <si>
    <t xml:space="preserve">Chair or recorded delegate</t>
  </si>
  <si>
    <t xml:space="preserve">Project Sponsor</t>
  </si>
  <si>
    <t xml:space="preserve">Accountable business owner</t>
  </si>
  <si>
    <t xml:space="preserve">Project Manager / Delivery Lead</t>
  </si>
  <si>
    <t xml:space="preserve">Cannot approve own charter, baseline, change, release, acceptance or closure</t>
  </si>
  <si>
    <t xml:space="preserve">Product / Business Owner</t>
  </si>
  <si>
    <t xml:space="preserve">Technical Lead / Solution Architect</t>
  </si>
  <si>
    <t xml:space="preserve">Quality / Assurance Reviewer</t>
  </si>
  <si>
    <t xml:space="preserve">Independence depth follows the higher class</t>
  </si>
  <si>
    <t xml:space="preserve">Security / Privacy Reviewer</t>
  </si>
  <si>
    <t xml:space="preserve">Distinct control role for higher-risk work</t>
  </si>
  <si>
    <t xml:space="preserve">Service / Operations Owner</t>
  </si>
  <si>
    <t xml:space="preserve">Owns operational acceptance and benefits evidence</t>
  </si>
  <si>
    <t xml:space="preserve">Release Authority</t>
  </si>
  <si>
    <t xml:space="preserve">Executive Sponsor or delegate for Class 3-4; Technical Lead for Class 1-2</t>
  </si>
  <si>
    <t xml:space="preserve">Data Owner</t>
  </si>
  <si>
    <t xml:space="preserve">Cost baseline (GHS)</t>
  </si>
  <si>
    <t xml:space="preserve">Approved baseline excluding contingency</t>
  </si>
  <si>
    <t xml:space="preserve">Cost tolerance</t>
  </si>
  <si>
    <t xml:space="preserve">Class A +/-5%, Class B +/-10%, Class C +/-15%</t>
  </si>
  <si>
    <t xml:space="preserve">Schedule tolerance</t>
  </si>
  <si>
    <t xml:space="preserve">Baseline start date</t>
  </si>
  <si>
    <t xml:space="preserve">Baseline completion date</t>
  </si>
  <si>
    <t xml:space="preserve">Default Gate 7 due date</t>
  </si>
  <si>
    <t xml:space="preserve">Class A 6 months after Gate 6; Class B 6 months; Class C 90 days</t>
  </si>
  <si>
    <t xml:space="preserve">Personal data in scope?</t>
  </si>
  <si>
    <t xml:space="preserve">If yes, assess Data Protection Act 2012 (Act 843)</t>
  </si>
  <si>
    <t xml:space="preserve">Cybersecurity service in scope?</t>
  </si>
  <si>
    <t xml:space="preserve">If yes, assess Cybersecurity Act 2020 (Act 1038)</t>
  </si>
  <si>
    <t xml:space="preserve">Publicly funded?</t>
  </si>
  <si>
    <t xml:space="preserve">If yes, assess Public Procurement Act 2003 (Act 663) as amended by Act 914</t>
  </si>
  <si>
    <t xml:space="preserve">Tailoring decisions recorded</t>
  </si>
  <si>
    <t xml:space="preserve">Tailoring must not fall below the Appendix A floor</t>
  </si>
  <si>
    <t xml:space="preserve">Role separation position</t>
  </si>
  <si>
    <t xml:space="preserve">Section 3.3 met, or compensating assurance approved by the Project Authority</t>
  </si>
  <si>
    <t xml:space="preserve">Source documents</t>
  </si>
  <si>
    <t xml:space="preserve">- KenAddme IT Links Project Management Framework v1.1 (Approved 2 September 2026, effective 31 October 2026)</t>
  </si>
  <si>
    <t xml:space="preserve">- KenAddme IT Links Software Development and Engineering Framework v1.2 (Approved 2 September 2026, effective 31 October 2026)</t>
  </si>
  <si>
    <t xml:space="preserve">Framework owner and custodian: Freston Kenny Adedeme (Framework Owner and Custodian)</t>
  </si>
  <si>
    <t xml:space="preserve">Build status dashboard</t>
  </si>
  <si>
    <t xml:space="preserve">Counts are calculated from the two track sheets. Record the gate decision and date here once the named authority has decided.</t>
  </si>
  <si>
    <t xml:space="preserve">Track</t>
  </si>
  <si>
    <t xml:space="preserve">Decision point</t>
  </si>
  <si>
    <t xml:space="preserve">Items</t>
  </si>
  <si>
    <t xml:space="preserve">In progress</t>
  </si>
  <si>
    <t xml:space="preserve">Not applicable</t>
  </si>
  <si>
    <t xml:space="preserve">Outstanding</t>
  </si>
  <si>
    <t xml:space="preserve">% complete</t>
  </si>
  <si>
    <t xml:space="preserve">Evidence position</t>
  </si>
  <si>
    <t xml:space="preserve">Gate decision</t>
  </si>
  <si>
    <t xml:space="preserve">Decision date</t>
  </si>
  <si>
    <t xml:space="preserve">PM</t>
  </si>
  <si>
    <t xml:space="preserve">Gate 1</t>
  </si>
  <si>
    <t xml:space="preserve">Intake decision</t>
  </si>
  <si>
    <t xml:space="preserve">Not yet held</t>
  </si>
  <si>
    <t xml:space="preserve">Gate 2</t>
  </si>
  <si>
    <t xml:space="preserve">Project authorisation</t>
  </si>
  <si>
    <t xml:space="preserve">Gate 3</t>
  </si>
  <si>
    <t xml:space="preserve">Delivery readiness</t>
  </si>
  <si>
    <t xml:space="preserve">Gate 4</t>
  </si>
  <si>
    <t xml:space="preserve">Major deliverable or release readiness</t>
  </si>
  <si>
    <t xml:space="preserve">Gate 5</t>
  </si>
  <si>
    <t xml:space="preserve">Continuation or exception decision</t>
  </si>
  <si>
    <t xml:space="preserve">Gate 6</t>
  </si>
  <si>
    <t xml:space="preserve">Closure approval</t>
  </si>
  <si>
    <t xml:space="preserve">Gate 7</t>
  </si>
  <si>
    <t xml:space="preserve">Benefits confirmation</t>
  </si>
  <si>
    <t xml:space="preserve">All</t>
  </si>
  <si>
    <t xml:space="preserve">Track total</t>
  </si>
  <si>
    <t xml:space="preserve">SDLC</t>
  </si>
  <si>
    <t xml:space="preserve">G0</t>
  </si>
  <si>
    <t xml:space="preserve">Intake</t>
  </si>
  <si>
    <t xml:space="preserve">G1</t>
  </si>
  <si>
    <t xml:space="preserve">Requirements baseline</t>
  </si>
  <si>
    <t xml:space="preserve">Design readiness</t>
  </si>
  <si>
    <t xml:space="preserve">G3</t>
  </si>
  <si>
    <t xml:space="preserve">Code complete</t>
  </si>
  <si>
    <t xml:space="preserve">G4-R</t>
  </si>
  <si>
    <t xml:space="preserve">Release recommendation (verification and acceptance)</t>
  </si>
  <si>
    <t xml:space="preserve">G4</t>
  </si>
  <si>
    <t xml:space="preserve">Release readiness authorisation</t>
  </si>
  <si>
    <t xml:space="preserve">G5</t>
  </si>
  <si>
    <t xml:space="preserve">Operational acceptance</t>
  </si>
  <si>
    <t xml:space="preserve">G6</t>
  </si>
  <si>
    <t xml:space="preserve">Retirement / closure</t>
  </si>
  <si>
    <t xml:space="preserve">Reminder: a gate may be approved with conditions only when the conditions have owners and deadlines. Unresolved critical conditions cannot be treated this way, and a critical non-conformance blocks the gate unless a lawful, safe and time-bound exception is authorised.</t>
  </si>
  <si>
    <t xml:space="preserve">Project Management Track</t>
  </si>
  <si>
    <t xml:space="preserve">Source: Project Management Framework v1.1. One row per mandatory evidence item. Set Status, Owner and Evidence reference.</t>
  </si>
  <si>
    <t xml:space="preserve">Gate decision point</t>
  </si>
  <si>
    <t xml:space="preserve">Stage</t>
  </si>
  <si>
    <t xml:space="preserve">Item</t>
  </si>
  <si>
    <t xml:space="preserve">Decision owner / approver</t>
  </si>
  <si>
    <t xml:space="preserve">Gate 1 - Intake decision</t>
  </si>
  <si>
    <t xml:space="preserve">Exit criteria: The need is real enough to investigate, an idea owner is identified, the work supports institutional or client value, and feasibility effort is justified.</t>
  </si>
  <si>
    <t xml:space="preserve">Stage 1 - Strategic Intake and Opportunity Definition</t>
  </si>
  <si>
    <t xml:space="preserve">Gate 1.01</t>
  </si>
  <si>
    <t xml:space="preserve">Project idea / intake record: problem or opportunity, proposed outcome, beneficiaries, owner, urgency and known constraints</t>
  </si>
  <si>
    <t xml:space="preserve">Sponsor for Class C, ratified in batch at the monthly Project Authority review; Project Authority for Class A and Class B</t>
  </si>
  <si>
    <t xml:space="preserve">Not started</t>
  </si>
  <si>
    <t xml:space="preserve">Gate 1.02</t>
  </si>
  <si>
    <t xml:space="preserve">Current situation described with evidence that a problem or opportunity exists</t>
  </si>
  <si>
    <t xml:space="preserve">Gate 1.03</t>
  </si>
  <si>
    <t xml:space="preserve">Affected users, clients, services and institutional goals identified</t>
  </si>
  <si>
    <t xml:space="preserve">Gate 1.04</t>
  </si>
  <si>
    <t xml:space="preserve">Expected outcome stated without assuming a solution too early</t>
  </si>
  <si>
    <t xml:space="preserve">Gate 1.05</t>
  </si>
  <si>
    <t xml:space="preserve">Initial screening for legal, ethical, security, privacy, safety, financial and reputational concerns</t>
  </si>
  <si>
    <t xml:space="preserve">Gate 1.06</t>
  </si>
  <si>
    <t xml:space="preserve">Urgency, rough scale and project-versus-operations judgement recorded</t>
  </si>
  <si>
    <t xml:space="preserve">Gate 1.07</t>
  </si>
  <si>
    <t xml:space="preserve">Comparison against active commitments and resource capacity</t>
  </si>
  <si>
    <t xml:space="preserve">Gate 1.08</t>
  </si>
  <si>
    <t xml:space="preserve">Initial classification proposed (Class A / B / C) with reasons</t>
  </si>
  <si>
    <t xml:space="preserve">Gate 1.09</t>
  </si>
  <si>
    <t xml:space="preserve">Portfolio recommendation: proceed to feasibility, defer, merge, return or decline</t>
  </si>
  <si>
    <t xml:space="preserve">Gate 1.10</t>
  </si>
  <si>
    <t xml:space="preserve">Gate 1 decision recorded with approver, date and conditions</t>
  </si>
  <si>
    <t xml:space="preserve">Gate 1.11</t>
  </si>
  <si>
    <t xml:space="preserve">Expedited Gate 1/2 path used? If yes, record urgency justification, authority, maximum spend, time limit and stop authority (Section 4.6)</t>
  </si>
  <si>
    <t xml:space="preserve">Gate 2 - Project authorisation</t>
  </si>
  <si>
    <t xml:space="preserve">Exit criteria: A sponsor accepts accountability; the business case is credible; scope and intended outcome are clear; major risks are understood; suitable resources are likely available; and feasibility evidence supports proceeding.</t>
  </si>
  <si>
    <t xml:space="preserve">Stage 2 - Initiation and Feasibility</t>
  </si>
  <si>
    <t xml:space="preserve">Gate 2.01</t>
  </si>
  <si>
    <t xml:space="preserve">Project charter completed against the Appendix B template</t>
  </si>
  <si>
    <t xml:space="preserve">Sponsor for Class B/C; Project Authority for Class A</t>
  </si>
  <si>
    <t xml:space="preserve">Gate 2.02</t>
  </si>
  <si>
    <t xml:space="preserve">Proportionate business case prepared</t>
  </si>
  <si>
    <t xml:space="preserve">Gate 2.03</t>
  </si>
  <si>
    <t xml:space="preserve">Feasibility assessed: strategic, technical, operational, economic, schedule, legal/contractual, ethical/social and resource dimensions</t>
  </si>
  <si>
    <t xml:space="preserve">Gate 2.04</t>
  </si>
  <si>
    <t xml:space="preserve">Alternative approaches identified, including do nothing, buy, build, partner or change the process</t>
  </si>
  <si>
    <t xml:space="preserve">Gate 2.05</t>
  </si>
  <si>
    <t xml:space="preserve">High-level scope, exclusions, assumptions and acceptance concept prepared</t>
  </si>
  <si>
    <t xml:space="preserve">Gate 2.06</t>
  </si>
  <si>
    <t xml:space="preserve">Cost, duration, resource demand and expected benefits estimated as ranges where uncertainty is high</t>
  </si>
  <si>
    <t xml:space="preserve">Gate 2.07</t>
  </si>
  <si>
    <t xml:space="preserve">Principal risks, dependencies and constraints identified</t>
  </si>
  <si>
    <t xml:space="preserve">Gate 2.08</t>
  </si>
  <si>
    <t xml:space="preserve">Sponsor, project manager and key decision makers nominated</t>
  </si>
  <si>
    <t xml:space="preserve">Gate 2.09</t>
  </si>
  <si>
    <t xml:space="preserve">Software framework alignment recorded in the charter (software class, aligned G0-G6 checkpoints, Appendix I mapping)</t>
  </si>
  <si>
    <t xml:space="preserve">Gate 2.10</t>
  </si>
  <si>
    <t xml:space="preserve">Governance and tolerances recorded: decision rights, reporting, escalation, role separation, financial band, change authority</t>
  </si>
  <si>
    <t xml:space="preserve">Gate 2.11</t>
  </si>
  <si>
    <t xml:space="preserve">Benefits ownership, measures, default Gate 7 date and protected review effort recorded</t>
  </si>
  <si>
    <t xml:space="preserve">Gate 2.12</t>
  </si>
  <si>
    <t xml:space="preserve">Gate 2 decision recorded with approver, date and conditions</t>
  </si>
  <si>
    <t xml:space="preserve">Gate 3 - Delivery readiness</t>
  </si>
  <si>
    <t xml:space="preserve">Exit criteria: The integrated plan is realistic; funds and people are committed; key requirements and acceptance criteria are testable; material risks have responses; controls and reporting are ready; and the sponsor formally authorises execution.</t>
  </si>
  <si>
    <t xml:space="preserve">Stage 3 - Detailed Planning and Baseline Approval</t>
  </si>
  <si>
    <t xml:space="preserve">Gate 3.01</t>
  </si>
  <si>
    <t xml:space="preserve">Scope statement, deliverables, exclusions, requirements and acceptance criteria</t>
  </si>
  <si>
    <t xml:space="preserve">Gate 3.02</t>
  </si>
  <si>
    <t xml:space="preserve">Work breakdown structure with manageable work packages</t>
  </si>
  <si>
    <t xml:space="preserve">Gate 3.03</t>
  </si>
  <si>
    <t xml:space="preserve">Schedule with dependencies, milestones, estimates, critical constraints and contingency</t>
  </si>
  <si>
    <t xml:space="preserve">Gate 3.04</t>
  </si>
  <si>
    <t xml:space="preserve">Budget, procurement, staff effort, tools, infrastructure and reserves</t>
  </si>
  <si>
    <t xml:space="preserve">Gate 3.05</t>
  </si>
  <si>
    <t xml:space="preserve">Responsibility assignment and decision authority (Appendix H, one accountable per activity)</t>
  </si>
  <si>
    <t xml:space="preserve">Gate 3.06</t>
  </si>
  <si>
    <t xml:space="preserve">Quality plan, review points, test strategy and evidence required for acceptance</t>
  </si>
  <si>
    <t xml:space="preserve">Gate 3.07</t>
  </si>
  <si>
    <t xml:space="preserve">Risk register, response actions, issue process and escalation thresholds</t>
  </si>
  <si>
    <t xml:space="preserve">Gate 3.08</t>
  </si>
  <si>
    <t xml:space="preserve">Communication, stakeholder engagement and reporting calendar</t>
  </si>
  <si>
    <t xml:space="preserve">Gate 3.09</t>
  </si>
  <si>
    <t xml:space="preserve">Security, privacy, data, access, backup, continuity and release controls where relevant</t>
  </si>
  <si>
    <t xml:space="preserve">Gate 3.10</t>
  </si>
  <si>
    <t xml:space="preserve">Change, configuration, version, document and records management method</t>
  </si>
  <si>
    <t xml:space="preserve">Gate 3.11</t>
  </si>
  <si>
    <t xml:space="preserve">Transition, training, support, handover, rollback and closure approach</t>
  </si>
  <si>
    <t xml:space="preserve">Gate 3.12</t>
  </si>
  <si>
    <t xml:space="preserve">Funded benefits-review effort, operational benefit owner and default Gate 7 due date</t>
  </si>
  <si>
    <t xml:space="preserve">Gate 3.13</t>
  </si>
  <si>
    <t xml:space="preserve">Baseline quality tests passed: complete, consistent, achievable, controlled, acceptable</t>
  </si>
  <si>
    <t xml:space="preserve">Gate 3.14</t>
  </si>
  <si>
    <t xml:space="preserve">Role separation meets Section 3.3, or compensating assurance approved and recorded</t>
  </si>
  <si>
    <t xml:space="preserve">Gate 3.15</t>
  </si>
  <si>
    <t xml:space="preserve">Plan readiness checklist (Appendix C) signed by Sponsor, PM and reviewers</t>
  </si>
  <si>
    <t xml:space="preserve">Gate 3.16</t>
  </si>
  <si>
    <t xml:space="preserve">Gate 3 decision recorded with approver, date and conditions</t>
  </si>
  <si>
    <t xml:space="preserve">Gate 4 - Major deliverable or release readiness</t>
  </si>
  <si>
    <t xml:space="preserve">Exit criteria: The deliverable meets agreed requirements; tests and reviews are evidenced; unresolved defects and risks are within approved limits; operations and users are ready; security and privacy conditions are satisfied; and release or transition authority is granted.</t>
  </si>
  <si>
    <t xml:space="preserve">Stage 4 - Execution and Team Coordination</t>
  </si>
  <si>
    <t xml:space="preserve">Gate 4.01</t>
  </si>
  <si>
    <t xml:space="preserve">Formal kickoff held confirming objectives, roles, ways of working, reporting and escalation</t>
  </si>
  <si>
    <t xml:space="preserve">Named acceptance authority; Project Authority concurrence for Class A</t>
  </si>
  <si>
    <t xml:space="preserve">Gate 4.02</t>
  </si>
  <si>
    <t xml:space="preserve">Work packages authorised with outputs, owners, dates, quality criteria and dependencies</t>
  </si>
  <si>
    <t xml:space="preserve">Gate 4.03</t>
  </si>
  <si>
    <t xml:space="preserve">One controlled source maintained for plans, decisions, risks, issues, changes and deliverable versions</t>
  </si>
  <si>
    <t xml:space="preserve">Gate 4.04</t>
  </si>
  <si>
    <t xml:space="preserve">Deliverables reviewed early and progressively rather than at final testing only</t>
  </si>
  <si>
    <t xml:space="preserve">Gate 4.05</t>
  </si>
  <si>
    <t xml:space="preserve">Vendors, external contributors and client dependencies controlled against agreed obligations</t>
  </si>
  <si>
    <t xml:space="preserve">Gate 4.06</t>
  </si>
  <si>
    <t xml:space="preserve">Users, operations, training, support, data migration and release environments prepared in parallel</t>
  </si>
  <si>
    <t xml:space="preserve">Gate 4.07</t>
  </si>
  <si>
    <t xml:space="preserve">Work package acceptance evidence: output exists, checks passed, defects resolved or formally accepted, documentation updated, reviewer accepted</t>
  </si>
  <si>
    <t xml:space="preserve">Gate 4.08</t>
  </si>
  <si>
    <t xml:space="preserve">Test and review evidence identifying deliverable version and test environment</t>
  </si>
  <si>
    <t xml:space="preserve">Gate 4.09</t>
  </si>
  <si>
    <t xml:space="preserve">Defect and risk position within approved limits</t>
  </si>
  <si>
    <t xml:space="preserve">Gate 4.10</t>
  </si>
  <si>
    <t xml:space="preserve">Operational and user readiness confirmed</t>
  </si>
  <si>
    <t xml:space="preserve">Gate 4.11</t>
  </si>
  <si>
    <t xml:space="preserve">Security and privacy conditions satisfied</t>
  </si>
  <si>
    <t xml:space="preserve">Gate 4.12</t>
  </si>
  <si>
    <t xml:space="preserve">Gate 4 decision recorded with acceptance authority, date and conditions</t>
  </si>
  <si>
    <t xml:space="preserve">Gate 5 - Continuation or exception decision</t>
  </si>
  <si>
    <t xml:space="preserve">Exit criteria: Forecast performance remains acceptable, or a credible recovery/rebaseline decision has been approved. If value has disappeared, risk is unacceptable or recovery is not credible, the project must be paused, redirected or terminated.</t>
  </si>
  <si>
    <t xml:space="preserve">Stage 5 - Continuous Monitoring, Control and Corrective Action (recurring from Gate 3 to Gate 6)</t>
  </si>
  <si>
    <t xml:space="preserve">Gate 5.01</t>
  </si>
  <si>
    <t xml:space="preserve">Status reporting running at the class cadence (Class A weekly review plus formal status fortnightly; Class B monthly with fortnightly team review; Class C monthly plus midpoint check beyond 20 business days)</t>
  </si>
  <si>
    <t xml:space="preserve">Sponsor within tolerance; Project Authority beyond tolerance or for Class A</t>
  </si>
  <si>
    <t xml:space="preserve">Gate 5.02</t>
  </si>
  <si>
    <t xml:space="preserve">Minimum status report content complete: overall status, achievements, next period, schedule, cost/resources, scope/quality, risks/issues, decisions required</t>
  </si>
  <si>
    <t xml:space="preserve">Gate 5.03</t>
  </si>
  <si>
    <t xml:space="preserve">Status colour supported by evidence, not by activity or an unexpired deadline</t>
  </si>
  <si>
    <t xml:space="preserve">Gate 5.04</t>
  </si>
  <si>
    <t xml:space="preserve">Tolerance position measured against approved cost, schedule, scope, quality and risk limits</t>
  </si>
  <si>
    <t xml:space="preserve">Gate 5.05</t>
  </si>
  <si>
    <t xml:space="preserve">Variance analysis with root causes, consequences and corrective options</t>
  </si>
  <si>
    <t xml:space="preserve">Gate 5.06</t>
  </si>
  <si>
    <t xml:space="preserve">Gate 5 trigger log maintained (escalation trigger, forecast tolerance breach, material change, rebaseline, funding release, supplier failure, recovery plan, critical dependency change, doubtful acceptance, or a call by Sponsor/Authority/assurance)</t>
  </si>
  <si>
    <t xml:space="preserve">Gate 5.07</t>
  </si>
  <si>
    <t xml:space="preserve">Gate 5 convened within 2 business days for a red condition and 5 business days for any other material trigger</t>
  </si>
  <si>
    <t xml:space="preserve">Gate 5.08</t>
  </si>
  <si>
    <t xml:space="preserve">Corrective actions implemented, affected plans updated and effectiveness verified</t>
  </si>
  <si>
    <t xml:space="preserve">Gate 5.09</t>
  </si>
  <si>
    <t xml:space="preserve">Rebaseline decisions retain original commitment, approved changes and current forecast</t>
  </si>
  <si>
    <t xml:space="preserve">Gate 5.10</t>
  </si>
  <si>
    <t xml:space="preserve">Gate 5 decision recorded with approver, date and conditions</t>
  </si>
  <si>
    <t xml:space="preserve">Gate 6 - Closure approval</t>
  </si>
  <si>
    <t xml:space="preserve">Exit criteria: The authorised client or sponsor has accepted the outcome; operations own it; outstanding actions are assigned; finances and contracts are reconciled; records are archived; and the sponsor approves project closure.</t>
  </si>
  <si>
    <t xml:space="preserve">Stage 6 - Transition, Acceptance and Closure</t>
  </si>
  <si>
    <t xml:space="preserve">Gate 6.01</t>
  </si>
  <si>
    <t xml:space="preserve">Formal acceptance obtained against approved criteria, with accepted limitations recorded</t>
  </si>
  <si>
    <t xml:space="preserve">Gate 6.02</t>
  </si>
  <si>
    <t xml:space="preserve">Release, migration, training, support, security, backup, recovery and operational-readiness actions complete</t>
  </si>
  <si>
    <t xml:space="preserve">Gate 6.03</t>
  </si>
  <si>
    <t xml:space="preserve">Ownership transferred: products, data, licences, environments, documentation and unresolved actions</t>
  </si>
  <si>
    <t xml:space="preserve">Gate 6.04</t>
  </si>
  <si>
    <t xml:space="preserve">Contracts, invoices, assets, accounts and access rights closed or handed over</t>
  </si>
  <si>
    <t xml:space="preserve">Gate 6.05</t>
  </si>
  <si>
    <t xml:space="preserve">Budget reconciled; final cost, schedule, scope and quality performance recorded</t>
  </si>
  <si>
    <t xml:space="preserve">Gate 6.06</t>
  </si>
  <si>
    <t xml:space="preserve">Current versions, approvals, evidence, decisions, lessons and closure records archived</t>
  </si>
  <si>
    <t xml:space="preserve">Gate 6.07</t>
  </si>
  <si>
    <t xml:space="preserve">People and resources released responsibly and contributions acknowledged</t>
  </si>
  <si>
    <t xml:space="preserve">Gate 6.08</t>
  </si>
  <si>
    <t xml:space="preserve">Benefits measures, owners, review dates and outstanding corrective actions assigned</t>
  </si>
  <si>
    <t xml:space="preserve">Gate 6.09</t>
  </si>
  <si>
    <t xml:space="preserve">Records reviewed against the Appendix J retention schedule; legal holds identified</t>
  </si>
  <si>
    <t xml:space="preserve">Gate 6.10</t>
  </si>
  <si>
    <t xml:space="preserve">Project register status set to 'Operational - Benefits Pending' with Gate 7 due date and evidence owner</t>
  </si>
  <si>
    <t xml:space="preserve">Gate 6.11</t>
  </si>
  <si>
    <t xml:space="preserve">Closure report completed (Appendix G)</t>
  </si>
  <si>
    <t xml:space="preserve">Gate 6.12</t>
  </si>
  <si>
    <t xml:space="preserve">Gate 6 decision recorded with approver, date and conditions</t>
  </si>
  <si>
    <t xml:space="preserve">Gate 7 - Benefits confirmation</t>
  </si>
  <si>
    <t xml:space="preserve">Exit criteria: Benefits evidence is reviewed, remaining actions have owners, important lessons are incorporated into institutional practice and leadership decides whether to sustain, improve, expand, replace or retire the outcome.</t>
  </si>
  <si>
    <t xml:space="preserve">Stage 7 - Benefits Realisation and Post-Project Review</t>
  </si>
  <si>
    <t xml:space="preserve">Gate 7.01</t>
  </si>
  <si>
    <t xml:space="preserve">Benefits plan complete: benefit, baseline, measure, target, owner, dependencies and review dates</t>
  </si>
  <si>
    <t xml:space="preserve">Project Sponsor, supported by the Service / Operations Owner</t>
  </si>
  <si>
    <t xml:space="preserve">Gate 7.02</t>
  </si>
  <si>
    <t xml:space="preserve">Protected review effort used as budgeted at Gate 3 (Class A two person-days, Class B one, Class C half)</t>
  </si>
  <si>
    <t xml:space="preserve">Gate 7.03</t>
  </si>
  <si>
    <t xml:space="preserve">Usage evidence gathered: is the product or capability being used as intended?</t>
  </si>
  <si>
    <t xml:space="preserve">Gate 7.04</t>
  </si>
  <si>
    <t xml:space="preserve">Outcome evidence gathered: service, revenue, efficiency, learning, quality, safety or client improvement</t>
  </si>
  <si>
    <t xml:space="preserve">Gate 7.05</t>
  </si>
  <si>
    <t xml:space="preserve">Costs, delays, negative impacts or risks transferred elsewhere identified</t>
  </si>
  <si>
    <t xml:space="preserve">Gate 7.06</t>
  </si>
  <si>
    <t xml:space="preserve">Correct and incorrect assumptions reviewed</t>
  </si>
  <si>
    <t xml:space="preserve">Gate 7.07</t>
  </si>
  <si>
    <t xml:space="preserve">Corrective actions, follow-on investment or retirement decisions identified with owners</t>
  </si>
  <si>
    <t xml:space="preserve">Gate 7.08</t>
  </si>
  <si>
    <t xml:space="preserve">Lessons routed into institutional standards or training content</t>
  </si>
  <si>
    <t xml:space="preserve">Gate 7.09</t>
  </si>
  <si>
    <t xml:space="preserve">Project register status changed to 'Closed - Benefits Reviewed'</t>
  </si>
  <si>
    <t xml:space="preserve">Gate 7.10</t>
  </si>
  <si>
    <t xml:space="preserve">Gate 7 decision recorded with approver, date and conditions</t>
  </si>
  <si>
    <t xml:space="preserve">Software Development and Engineering Track</t>
  </si>
  <si>
    <t xml:space="preserve">Source: Software Development and Engineering Framework v1.2. One row per mandatory evidence item. Set Status, Owner and Evidence reference.</t>
  </si>
  <si>
    <t xml:space="preserve">G0 - Intake</t>
  </si>
  <si>
    <t xml:space="preserve">Exit criteria: The problem and intended benefits are clear enough to investigate; ownership and discovery resources are assigned; material legal, privacy, security or procurement blockers are identified; and management has approved, deferred or declined in writing.</t>
  </si>
  <si>
    <t xml:space="preserve">Stage 1 - Initiation and feasibility</t>
  </si>
  <si>
    <t xml:space="preserve">G0.01</t>
  </si>
  <si>
    <t xml:space="preserve">Project request or concept note</t>
  </si>
  <si>
    <t xml:space="preserve">Sponsor and delivery lead</t>
  </si>
  <si>
    <t xml:space="preserve">G0.02</t>
  </si>
  <si>
    <t xml:space="preserve">Preliminary business case and feasibility assessment (technical, economic, operational, schedule, legal, data, security, resource)</t>
  </si>
  <si>
    <t xml:space="preserve">G0.03</t>
  </si>
  <si>
    <t xml:space="preserve">Named sponsor, delivery lead and technical owner</t>
  </si>
  <si>
    <t xml:space="preserve">G0.04</t>
  </si>
  <si>
    <t xml:space="preserve">Initial scope, stakeholder list, risk class and risk register</t>
  </si>
  <si>
    <t xml:space="preserve">G0.05</t>
  </si>
  <si>
    <t xml:space="preserve">Alternatives considered, including process change, configuration or acquisition instead of custom development</t>
  </si>
  <si>
    <t xml:space="preserve">G0.06</t>
  </si>
  <si>
    <t xml:space="preserve">Discovery effort estimated and authority to proceed obtained</t>
  </si>
  <si>
    <t xml:space="preserve">G0.07</t>
  </si>
  <si>
    <t xml:space="preserve">G0 decision record</t>
  </si>
  <si>
    <t xml:space="preserve">G0.08</t>
  </si>
  <si>
    <t xml:space="preserve">No coding started as an informal commitment before owner, outcome, data constraints and acceptance authority exist</t>
  </si>
  <si>
    <t xml:space="preserve">G1 - Requirements baseline</t>
  </si>
  <si>
    <t xml:space="preserve">Exit criteria: Each committed requirement is necessary, clear, feasible, testable, traceable and prioritised; conflicts and ambiguities are resolved or assigned with dates and owners; the acceptance authority approves the baseline; and scope, schedule and cost assumptions align with the approved requirements.</t>
  </si>
  <si>
    <t xml:space="preserve">Stage 2 - Discovery and requirements engineering</t>
  </si>
  <si>
    <t xml:space="preserve">G1.01</t>
  </si>
  <si>
    <t xml:space="preserve">Software Requirements Specification, product backlog or equivalent controlled requirements set</t>
  </si>
  <si>
    <t xml:space="preserve">Product owner and delivery lead</t>
  </si>
  <si>
    <t xml:space="preserve">G1.02</t>
  </si>
  <si>
    <t xml:space="preserve">Functional requirements, business rules, data needs, interfaces, roles and permissions documented</t>
  </si>
  <si>
    <t xml:space="preserve">G1.03</t>
  </si>
  <si>
    <t xml:space="preserve">Non-functional requirements defined: security, privacy, performance, availability, reliability, accessibility, usability, compatibility, maintainability, scalability, portability, logging, backup and recovery</t>
  </si>
  <si>
    <t xml:space="preserve">G1.04</t>
  </si>
  <si>
    <t xml:space="preserve">User journeys, process maps, use cases or stories as appropriate</t>
  </si>
  <si>
    <t xml:space="preserve">G1.05</t>
  </si>
  <si>
    <t xml:space="preserve">Acceptance criteria and initial test conditions</t>
  </si>
  <si>
    <t xml:space="preserve">G1.06</t>
  </si>
  <si>
    <t xml:space="preserve">Data inventory and classification (Public / Internal / Confidential / Restricted)</t>
  </si>
  <si>
    <t xml:space="preserve">G1.07</t>
  </si>
  <si>
    <t xml:space="preserve">Preliminary privacy and security requirements</t>
  </si>
  <si>
    <t xml:space="preserve">G1.08</t>
  </si>
  <si>
    <t xml:space="preserve">Requirements traceability matrix or linked work-item structure</t>
  </si>
  <si>
    <t xml:space="preserve">G1.09</t>
  </si>
  <si>
    <t xml:space="preserve">Requirements reviewed with affected stakeholders and formally baselined</t>
  </si>
  <si>
    <t xml:space="preserve">G1.10</t>
  </si>
  <si>
    <t xml:space="preserve">Requirement quality rules applied: clear, atomic, feasible, testable, traceable, consistent, controlled</t>
  </si>
  <si>
    <t xml:space="preserve">G1.11</t>
  </si>
  <si>
    <t xml:space="preserve">Unresolved-question log with owners and dates</t>
  </si>
  <si>
    <t xml:space="preserve">G1.12</t>
  </si>
  <si>
    <t xml:space="preserve">G1 approval recorded</t>
  </si>
  <si>
    <t xml:space="preserve">G2 - Design readiness</t>
  </si>
  <si>
    <t xml:space="preserve">Exit criteria: The design addresses the approved functional and non-functional requirements; interfaces, data ownership, trust boundaries and failure modes are understood; critical risks are reduced, accepted or assigned to a dated action; and build, test, deployment and operational approaches are feasible and funded.</t>
  </si>
  <si>
    <t xml:space="preserve">Stage 3 - Planning, architecture and detailed design</t>
  </si>
  <si>
    <t xml:space="preserve">G2.01</t>
  </si>
  <si>
    <t xml:space="preserve">Project delivery plan and updated estimates</t>
  </si>
  <si>
    <t xml:space="preserve">Technical lead; security reviewer for higher risk</t>
  </si>
  <si>
    <t xml:space="preserve">G2.02</t>
  </si>
  <si>
    <t xml:space="preserve">Assurance effort, schedule and budget as a distinct line item; commercial disclosure for Class 3 and Class 4 client work</t>
  </si>
  <si>
    <t xml:space="preserve">G2.03</t>
  </si>
  <si>
    <t xml:space="preserve">Architecture description with context, component, deployment and data-flow views</t>
  </si>
  <si>
    <t xml:space="preserve">G2.04</t>
  </si>
  <si>
    <t xml:space="preserve">Architecture Decision Records for material choices, including rejected alternatives</t>
  </si>
  <si>
    <t xml:space="preserve">G2.05</t>
  </si>
  <si>
    <t xml:space="preserve">UX prototypes/designs, database model and API/interface specifications</t>
  </si>
  <si>
    <t xml:space="preserve">G2.06</t>
  </si>
  <si>
    <t xml:space="preserve">G2.07</t>
  </si>
  <si>
    <t xml:space="preserve">Security design: authentication, authorisation, secrets, encryption, logging and recovery controls</t>
  </si>
  <si>
    <t xml:space="preserve">G2.08</t>
  </si>
  <si>
    <t xml:space="preserve">Test strategy, environment plan, migration approach, observability, support model, backup and rollback concept</t>
  </si>
  <si>
    <t xml:space="preserve">G2.09</t>
  </si>
  <si>
    <t xml:space="preserve">Risky assumptions validated with controlled prototypes or spikes</t>
  </si>
  <si>
    <t xml:space="preserve">G2.10</t>
  </si>
  <si>
    <t xml:space="preserve">Architecture expectations addressed: modularity, least privilege, failure containment, observability, recoverability, technology fitness</t>
  </si>
  <si>
    <t xml:space="preserve">G2.11</t>
  </si>
  <si>
    <t xml:space="preserve">G2 review and approval record</t>
  </si>
  <si>
    <t xml:space="preserve">G3 - Code complete</t>
  </si>
  <si>
    <t xml:space="preserve">Exit criteria: All committed work is merged through the approved review path; the build is reproducible and automated checks pass or have approved exceptions; no unresolved critical defect, exposed secret or prohibited component is known; and the test environment holds an identifiable release candidate.</t>
  </si>
  <si>
    <t xml:space="preserve">Stage 4 - Implementation and integration</t>
  </si>
  <si>
    <t xml:space="preserve">G3.01</t>
  </si>
  <si>
    <t xml:space="preserve">Version-controlled source code, configuration and infrastructure definitions</t>
  </si>
  <si>
    <t xml:space="preserve">Technical lead and QA lead</t>
  </si>
  <si>
    <t xml:space="preserve">G3.02</t>
  </si>
  <si>
    <t xml:space="preserve">Work items, commits and pull/merge requests linked with reviewer evidence</t>
  </si>
  <si>
    <t xml:space="preserve">G3.03</t>
  </si>
  <si>
    <t xml:space="preserve">Protected release branches enforced; merges require successful checks and review</t>
  </si>
  <si>
    <t xml:space="preserve">G3.04</t>
  </si>
  <si>
    <t xml:space="preserve">Peer review completed (two-person or specialist review for critical security, data, payment or infrastructure changes)</t>
  </si>
  <si>
    <t xml:space="preserve">G3.05</t>
  </si>
  <si>
    <t xml:space="preserve">Unit tests written with the code; integration, contract or component tests added where interfaces are affected</t>
  </si>
  <si>
    <t xml:space="preserve">G3.06</t>
  </si>
  <si>
    <t xml:space="preserve">Continuous integration passing: formatting, linting, build, test, secret and dependency/security scans</t>
  </si>
  <si>
    <t xml:space="preserve">G3.07</t>
  </si>
  <si>
    <t xml:space="preserve">Successful automated build and test results retained</t>
  </si>
  <si>
    <t xml:space="preserve">G3.08</t>
  </si>
  <si>
    <t xml:space="preserve">Dependency and licence inventory; software bill of materials where required</t>
  </si>
  <si>
    <t xml:space="preserve">G3.09</t>
  </si>
  <si>
    <t xml:space="preserve">Secrets held in an approved secret store and absent from code, fixtures, logs and collaboration tools</t>
  </si>
  <si>
    <t xml:space="preserve">G3.10</t>
  </si>
  <si>
    <t xml:space="preserve">AI- or tool-generated code reviewed, tested and accepted by a competent human</t>
  </si>
  <si>
    <t xml:space="preserve">G3.11</t>
  </si>
  <si>
    <t xml:space="preserve">Architecture, API, data, operational and user documentation updated with the change</t>
  </si>
  <si>
    <t xml:space="preserve">G3.12</t>
  </si>
  <si>
    <t xml:space="preserve">Known-defect, technical-debt and deviation records</t>
  </si>
  <si>
    <t xml:space="preserve">G3.13</t>
  </si>
  <si>
    <t xml:space="preserve">G3 code-complete decision</t>
  </si>
  <si>
    <t xml:space="preserve">G4-R - Release recommendation (verification and acceptance)</t>
  </si>
  <si>
    <t xml:space="preserve">Exit criteria: Every release requirement has passed evidence or an explicitly accepted deviation; no open Severity 1 or unaccepted Severity 2 defect remains; security, privacy and operational risks meet the release criteria; and the release candidate and evidence set are uniquely identified and protected from uncontrolled change.</t>
  </si>
  <si>
    <t xml:space="preserve">Stage 5 - Verification, validation and acceptance</t>
  </si>
  <si>
    <t xml:space="preserve">G4-R.01</t>
  </si>
  <si>
    <t xml:space="preserve">Approved risk-based test plan with traceability to requirements</t>
  </si>
  <si>
    <t xml:space="preserve">QA lead and product owner; independent QA for Class 3, independent or specialist QA for Class 4</t>
  </si>
  <si>
    <t xml:space="preserve">G4-R.02</t>
  </si>
  <si>
    <t xml:space="preserve">Test cases, automated suites, actual results and evidence recorded with environment, build identifier and tester</t>
  </si>
  <si>
    <t xml:space="preserve">G4-R.03</t>
  </si>
  <si>
    <t xml:space="preserve">Unit, integration, contract, system, regression and user-acceptance tests executed as applicable</t>
  </si>
  <si>
    <t xml:space="preserve">G4-R.04</t>
  </si>
  <si>
    <t xml:space="preserve">Security, privacy, performance, accessibility, compatibility, migration, backup/restore and resilience testing according to risk</t>
  </si>
  <si>
    <t xml:space="preserve">G4-R.05</t>
  </si>
  <si>
    <t xml:space="preserve">Production-like environments used with representative, lawful test data and no uncontrolled production-data copying</t>
  </si>
  <si>
    <t xml:space="preserve">G4-R.06</t>
  </si>
  <si>
    <t xml:space="preserve">Defect register with severity, disposition, owner and retest status</t>
  </si>
  <si>
    <t xml:space="preserve">G4-R.07</t>
  </si>
  <si>
    <t xml:space="preserve">Corrections retested and targeted regression tests run</t>
  </si>
  <si>
    <t xml:space="preserve">G4-R.08</t>
  </si>
  <si>
    <t xml:space="preserve">No open S1 defect; any S2 released only with documented residual-risk acceptance</t>
  </si>
  <si>
    <t xml:space="preserve">G4-R.09</t>
  </si>
  <si>
    <t xml:space="preserve">Security/privacy scan and review records</t>
  </si>
  <si>
    <t xml:space="preserve">G4-R.10</t>
  </si>
  <si>
    <t xml:space="preserve">User-acceptance record from the authorised product owner or client representative</t>
  </si>
  <si>
    <t xml:space="preserve">G4-R.11</t>
  </si>
  <si>
    <t xml:space="preserve">G4 recommendation issued</t>
  </si>
  <si>
    <t xml:space="preserve">G4 - Release readiness authorisation</t>
  </si>
  <si>
    <t xml:space="preserve">Exit criteria: Release approval is recorded before production change except under the emergency-change process; deployment completed successfully or rollback restored the approved service state; monitoring shows acceptable service health; and support and service owners accept the deployed version and known issues.</t>
  </si>
  <si>
    <t xml:space="preserve">Stage 6 - Release and deployment</t>
  </si>
  <si>
    <t xml:space="preserve">G4.01</t>
  </si>
  <si>
    <t xml:space="preserve">Release package assembled: version, approved changes, dependencies, configuration, migration and known limitations</t>
  </si>
  <si>
    <t xml:space="preserve">Product owner, service owner and release authority (Executive Sponsor or delegate for Class 3-4; Technical Lead for Class 1-2)</t>
  </si>
  <si>
    <t xml:space="preserve">G4.02</t>
  </si>
  <si>
    <t xml:space="preserve">Release notes and immutable release/build identifier</t>
  </si>
  <si>
    <t xml:space="preserve">G4.03</t>
  </si>
  <si>
    <t xml:space="preserve">Production access, infrastructure, capacity, monitoring, backup, support and communication readiness confirmed</t>
  </si>
  <si>
    <t xml:space="preserve">G4.04</t>
  </si>
  <si>
    <t xml:space="preserve">Approved deployment, data migration, rollback and communication plans with named decision authority</t>
  </si>
  <si>
    <t xml:space="preserve">G4.05</t>
  </si>
  <si>
    <t xml:space="preserve">Build and deployment credentials kept separate; deployment automated and repeatable where practical</t>
  </si>
  <si>
    <t xml:space="preserve">G4.06</t>
  </si>
  <si>
    <t xml:space="preserve">Affected data backed up or checkpointed; restoration or rollback feasibility validated before irreversible change</t>
  </si>
  <si>
    <t xml:space="preserve">G4.07</t>
  </si>
  <si>
    <t xml:space="preserve">Operational runbook, monitoring/alert configuration and support handover ready</t>
  </si>
  <si>
    <t xml:space="preserve">G4.08</t>
  </si>
  <si>
    <t xml:space="preserve">Release-readiness checklist (Appendix F) completed across scope, requirements, code, tests, security/privacy, dependencies, data, operations, deployment and approval</t>
  </si>
  <si>
    <t xml:space="preserve">G4.09</t>
  </si>
  <si>
    <t xml:space="preserve">Release authority is not the sole author of the release (role separation for Class 3-4)</t>
  </si>
  <si>
    <t xml:space="preserve">G4.10</t>
  </si>
  <si>
    <t xml:space="preserve">Deployment executed with smoke tests and business verification; actual deployment, deviations, approvers and outcome recorded</t>
  </si>
  <si>
    <t xml:space="preserve">G4.11</t>
  </si>
  <si>
    <t xml:space="preserve">G4 release authorisation recorded</t>
  </si>
  <si>
    <t xml:space="preserve">G5 - Operational acceptance</t>
  </si>
  <si>
    <t xml:space="preserve">Exit criteria: The service remains within approved operational and security limits; incidents, vulnerabilities and maintenance obligations have accountable owners and target dates; access, dependencies, data retention and continuity controls are reviewed periodically; and management receives sufficient evidence to continue, improve, replace or retire the service.</t>
  </si>
  <si>
    <t xml:space="preserve">Stage 7 - Operations, maintenance and support</t>
  </si>
  <si>
    <t xml:space="preserve">G5.01</t>
  </si>
  <si>
    <t xml:space="preserve">Service catalogue entry, named service owner and support model</t>
  </si>
  <si>
    <t xml:space="preserve">Service owner and product owner</t>
  </si>
  <si>
    <t xml:space="preserve">G5.02</t>
  </si>
  <si>
    <t xml:space="preserve">Deployment record, smoke tests and early-life review</t>
  </si>
  <si>
    <t xml:space="preserve">G5.03</t>
  </si>
  <si>
    <t xml:space="preserve">Monitoring of availability, performance, capacity, errors, security events, backups, certificate expiry and critical dependencies</t>
  </si>
  <si>
    <t xml:space="preserve">G5.04</t>
  </si>
  <si>
    <t xml:space="preserve">Documented support channels, service hours, escalation paths and response targets</t>
  </si>
  <si>
    <t xml:space="preserve">G5.05</t>
  </si>
  <si>
    <t xml:space="preserve">Incident, problem, change, maintenance and vulnerability records</t>
  </si>
  <si>
    <t xml:space="preserve">G5.06</t>
  </si>
  <si>
    <t xml:space="preserve">Root-cause analysis for significant or recurring incidents with tracked corrective actions</t>
  </si>
  <si>
    <t xml:space="preserve">G5.07</t>
  </si>
  <si>
    <t xml:space="preserve">Vulnerability remediation within service targets (critical: 7 days Class 3-4, 14 days Class 2; high: 30 days Class 3-4, 60 days Class 2)</t>
  </si>
  <si>
    <t xml:space="preserve">G5.08</t>
  </si>
  <si>
    <t xml:space="preserve">S1 incident acknowledgement within target (1 hour Class 3-4, 4 hours Class 2)</t>
  </si>
  <si>
    <t xml:space="preserve">G5.09</t>
  </si>
  <si>
    <t xml:space="preserve">Backup restoration tested on schedule (quarterly Class 3-4, at least semi-annually Class 2) with results compared to RPO/RTO</t>
  </si>
  <si>
    <t xml:space="preserve">G5.10</t>
  </si>
  <si>
    <t xml:space="preserve">Access review completed on schedule (quarterly Class 3-4, at least annually Class 2)</t>
  </si>
  <si>
    <t xml:space="preserve">G5.11</t>
  </si>
  <si>
    <t xml:space="preserve">Enhancements and changes processed through the same traceability, review, testing and release controls</t>
  </si>
  <si>
    <t xml:space="preserve">G5.12</t>
  </si>
  <si>
    <t xml:space="preserve">Service review reports and improvement backlog maintained</t>
  </si>
  <si>
    <t xml:space="preserve">G5.13</t>
  </si>
  <si>
    <t xml:space="preserve">G5 operational acceptance recorded</t>
  </si>
  <si>
    <t xml:space="preserve">G6 - Retirement / closure</t>
  </si>
  <si>
    <t xml:space="preserve">Exit criteria: Users and stakeholders have been notified and supported through transition; required data is preserved or transferred and unneeded data securely disposed of; no orphaned credential, public endpoint, paid service or unmanaged dependency remains; and the sponsor, data owner and service owner approve closure.</t>
  </si>
  <si>
    <t xml:space="preserve">Stage 8 - Retirement and project closure</t>
  </si>
  <si>
    <t xml:space="preserve">G6.01</t>
  </si>
  <si>
    <t xml:space="preserve">Retirement reason, affected users, replacement service, dependencies and approved date confirmed</t>
  </si>
  <si>
    <t xml:space="preserve">Sponsor, data owner and service owner</t>
  </si>
  <si>
    <t xml:space="preserve">G6.02</t>
  </si>
  <si>
    <t xml:space="preserve">Transition and communication plan, including data export or migration</t>
  </si>
  <si>
    <t xml:space="preserve">G6.03</t>
  </si>
  <si>
    <t xml:space="preserve">Retention, archival, transfer or secure-deletion decisions applied to data and records</t>
  </si>
  <si>
    <t xml:space="preserve">G6.04</t>
  </si>
  <si>
    <t xml:space="preserve">Accounts, credentials, integrations, domains, certificates, pipelines, infrastructure and supplier services disabled</t>
  </si>
  <si>
    <t xml:space="preserve">G6.05</t>
  </si>
  <si>
    <t xml:space="preserve">Source, releases, configuration, decisions, test evidence, licences and operational records archived</t>
  </si>
  <si>
    <t xml:space="preserve">G6.06</t>
  </si>
  <si>
    <t xml:space="preserve">Final asset inventory and archive location recorded</t>
  </si>
  <si>
    <t xml:space="preserve">G6.07</t>
  </si>
  <si>
    <t xml:space="preserve">Financial and contractual closure verified</t>
  </si>
  <si>
    <t xml:space="preserve">G6.08</t>
  </si>
  <si>
    <t xml:space="preserve">Lessons learned, benefits achieved and outstanding actions captured</t>
  </si>
  <si>
    <t xml:space="preserve">G6.09</t>
  </si>
  <si>
    <t xml:space="preserve">Client or sponsor acceptance recorded</t>
  </si>
  <si>
    <t xml:space="preserve">G6.10</t>
  </si>
  <si>
    <t xml:space="preserve">G6 closure decision</t>
  </si>
  <si>
    <t xml:space="preserve">Appendix A - mandatory artefact floor by software class</t>
  </si>
  <si>
    <t xml:space="preserve">R = required, C = conditional as stated, N/A = not applicable. Records may be combined; a required record may not be omitted without an approved exception.</t>
  </si>
  <si>
    <t xml:space="preserve">Class 1</t>
  </si>
  <si>
    <t xml:space="preserve">Class 2</t>
  </si>
  <si>
    <t xml:space="preserve">Class 3</t>
  </si>
  <si>
    <t xml:space="preserve">Class 4</t>
  </si>
  <si>
    <t xml:space="preserve">Tailoring floor</t>
  </si>
  <si>
    <t xml:space="preserve">Approval / evidence</t>
  </si>
  <si>
    <t xml:space="preserve">Initiation</t>
  </si>
  <si>
    <t xml:space="preserve">R-light</t>
  </si>
  <si>
    <t xml:space="preserve">R</t>
  </si>
  <si>
    <t xml:space="preserve">C1: purpose, owner, scope, risk class and disposal date. C2-4: request/charter, feasibility, stakeholders, scope and risk.</t>
  </si>
  <si>
    <t xml:space="preserve">Sponsor / delivery lead</t>
  </si>
  <si>
    <t xml:space="preserve">G0 decision</t>
  </si>
  <si>
    <t xml:space="preserve">Requirements</t>
  </si>
  <si>
    <t xml:space="preserve">C</t>
  </si>
  <si>
    <t xml:space="preserve">C1: acceptance note; full requirements when user-facing, integrated or persistent data is used. C2-4: requirements/backlog, acceptance, data classification and traceability.</t>
  </si>
  <si>
    <t xml:space="preserve">Product owner / analyst</t>
  </si>
  <si>
    <t xml:space="preserve">G1 baseline</t>
  </si>
  <si>
    <t xml:space="preserve">Design</t>
  </si>
  <si>
    <t xml:space="preserve">R-proportionate</t>
  </si>
  <si>
    <t xml:space="preserve">R + independent review</t>
  </si>
  <si>
    <t xml:space="preserve">C1: design note for material interface, data or security risk. C2: architecture and test/deployment design. C3-4: add threat/privacy and specialist assurance.</t>
  </si>
  <si>
    <t xml:space="preserve">Technical lead</t>
  </si>
  <si>
    <t xml:space="preserve">G2 review</t>
  </si>
  <si>
    <t xml:space="preserve">Implementation</t>
  </si>
  <si>
    <t xml:space="preserve">Controlled source/configuration, review evidence, build/CI results and component inventory. C1 may use simplified review evidence but must retain source control and basic testing.</t>
  </si>
  <si>
    <t xml:space="preserve">G3 code-complete record</t>
  </si>
  <si>
    <t xml:space="preserve">Testing</t>
  </si>
  <si>
    <t xml:space="preserve">R-basic</t>
  </si>
  <si>
    <t xml:space="preserve">R + independent QA</t>
  </si>
  <si>
    <t xml:space="preserve">R + independent/specialist QA</t>
  </si>
  <si>
    <t xml:space="preserve">C1: basic acceptance and defect record. C2-4: plan, cases, results, defects, security/privacy and user acceptance at class depth.</t>
  </si>
  <si>
    <t xml:space="preserve">QA lead / product owner</t>
  </si>
  <si>
    <t xml:space="preserve">G4 recommendation</t>
  </si>
  <si>
    <t xml:space="preserve">Release</t>
  </si>
  <si>
    <t xml:space="preserve">C - non-production only</t>
  </si>
  <si>
    <t xml:space="preserve">C1: demonstration/non-production release record only; any production use requires reclassification. C2-4: release notes, approval, migration, deployment, rollback and validation.</t>
  </si>
  <si>
    <t xml:space="preserve">Release / service owner</t>
  </si>
  <si>
    <t xml:space="preserve">G4 authorisation and deployment record</t>
  </si>
  <si>
    <t xml:space="preserve">Operations</t>
  </si>
  <si>
    <t xml:space="preserve">N/A - production prohibited</t>
  </si>
  <si>
    <t xml:space="preserve">C2-4: runbooks, monitoring, access, backup/recovery, support, incidents, targets and reviews. A Class 1 experiment must be reclassified before operational reliance.</t>
  </si>
  <si>
    <t xml:space="preserve">Service owner</t>
  </si>
  <si>
    <t xml:space="preserve">G5 acceptance and service reviews</t>
  </si>
  <si>
    <t xml:space="preserve">Closure</t>
  </si>
  <si>
    <t xml:space="preserve">C1: disposal date, access removal and data/code disposition. C2-4: acceptance/closure, data disposition, decommissioning, archive and lessons.</t>
  </si>
  <si>
    <t xml:space="preserve">Sponsor / service owner</t>
  </si>
  <si>
    <t xml:space="preserve">G6 decision</t>
  </si>
  <si>
    <t xml:space="preserve">Appendix I - project and software framework reconciliation</t>
  </si>
  <si>
    <t xml:space="preserve">Evidence is created once and referenced by both tracks. The higher classification, stronger control and more senior approver govern wherever the mappings differ.</t>
  </si>
  <si>
    <t xml:space="preserve">Project gate</t>
  </si>
  <si>
    <t xml:space="preserve">Software checkpoint</t>
  </si>
  <si>
    <t xml:space="preserve">Consolidation rule</t>
  </si>
  <si>
    <t xml:space="preserve">Gate 1 - Intake</t>
  </si>
  <si>
    <t xml:space="preserve">Use one intake record, sponsor, feasibility screen and initial classification decision.</t>
  </si>
  <si>
    <t xml:space="preserve">Gate 2 - Project Authorisation</t>
  </si>
  <si>
    <t xml:space="preserve">G1 - Requirements Baseline</t>
  </si>
  <si>
    <t xml:space="preserve">Combine when requirements and acceptance criteria are sufficiently mature. If G1 follows later, reuse the charter and add only the requirements evidence; do not repeat the business decision.</t>
  </si>
  <si>
    <t xml:space="preserve">Gate 3 - Delivery Readiness</t>
  </si>
  <si>
    <t xml:space="preserve">G2 - Design Readiness</t>
  </si>
  <si>
    <t xml:space="preserve">Use one integrated readiness pack covering project baseline, architecture, security/privacy, test, deployment, assurance and operational plans.</t>
  </si>
  <si>
    <t xml:space="preserve">Gate 4 - Release Readiness</t>
  </si>
  <si>
    <t xml:space="preserve">G3 prerequisite and G4 - Release Readiness</t>
  </si>
  <si>
    <t xml:space="preserve">G3 code-complete evidence is an engineering prerequisite. One G4/Gate 4 approval pack authorises release under the stricter approver set.</t>
  </si>
  <si>
    <t xml:space="preserve">Gate 5 - Continuation / Exception</t>
  </si>
  <si>
    <t xml:space="preserve">G3 or G5 evidence where relevant</t>
  </si>
  <si>
    <t xml:space="preserve">Gate 5 is recurring or triggered project governance. Engineering or early-life evidence may support it; no duplicate gate is required solely because numbering differs.</t>
  </si>
  <si>
    <t xml:space="preserve">Gate 6 - Closure</t>
  </si>
  <si>
    <t xml:space="preserve">G5 - Operational Acceptance and G6 - Retirement/Closure</t>
  </si>
  <si>
    <t xml:space="preserve">Use G5 evidence for handover. Use G6 when the project closes or a service is retired. One closure record may satisfy both where scope matches.</t>
  </si>
  <si>
    <t xml:space="preserve">Gate 7 - Benefits</t>
  </si>
  <si>
    <t xml:space="preserve">Post-implementation review evidence; no separate software gate</t>
  </si>
  <si>
    <t xml:space="preserve">Use service measures and the software review as evidence for the single Gate 7 benefits decision.</t>
  </si>
  <si>
    <t xml:space="preserve">Classification mapping</t>
  </si>
  <si>
    <t xml:space="preserve">Project class</t>
  </si>
  <si>
    <t xml:space="preserve">Normal software class</t>
  </si>
  <si>
    <t xml:space="preserve">Mandatory interpretation</t>
  </si>
  <si>
    <t xml:space="preserve">Class C - Small / Low Risk</t>
  </si>
  <si>
    <t xml:space="preserve">Software Class 1 or Class 2</t>
  </si>
  <si>
    <t xml:space="preserve">Class 1 is permitted only for time-bound, non-production experimentation with no real personal, client-confidential or payment data. Any operational or production use is at least Class 2.</t>
  </si>
  <si>
    <t xml:space="preserve">Class B - Standard / Medium Risk</t>
  </si>
  <si>
    <t xml:space="preserve">Software Class 2 or Class 3</t>
  </si>
  <si>
    <t xml:space="preserve">Use Class 3 where personal/sensitive data, public exposure, finance/identity, material reputation, contractual service levels or significant recovery impact exists.</t>
  </si>
  <si>
    <t xml:space="preserve">Class A - Strategic / High Risk</t>
  </si>
  <si>
    <t xml:space="preserve">Software Class 3 or Class 4</t>
  </si>
  <si>
    <t xml:space="preserve">Use Class 4 for safety-significant, critical-infrastructure, large-scale restricted-data or mission-critical services. Executive governance and explicit residual-risk acceptance apply.</t>
  </si>
  <si>
    <t xml:space="preserve">Risk and Issue Register</t>
  </si>
  <si>
    <t xml:space="preserve">Use the form: Because of [cause], there is a possibility that [uncertain event], resulting in [effect on objectives]. For issues, state what has happened, current impact, immediate containment, root-cause owner and resolution date.</t>
  </si>
  <si>
    <t xml:space="preserve">ID</t>
  </si>
  <si>
    <t xml:space="preserve">Risk or issue statement</t>
  </si>
  <si>
    <t xml:space="preserve">Type</t>
  </si>
  <si>
    <t xml:space="preserve">Category</t>
  </si>
  <si>
    <t xml:space="preserve">Likelihood</t>
  </si>
  <si>
    <t xml:space="preserve">Impact</t>
  </si>
  <si>
    <t xml:space="preserve">Rating</t>
  </si>
  <si>
    <t xml:space="preserve">Response</t>
  </si>
  <si>
    <t xml:space="preserve">Action</t>
  </si>
  <si>
    <t xml:space="preserve">Due</t>
  </si>
  <si>
    <t xml:space="preserve">Residual risk</t>
  </si>
  <si>
    <t xml:space="preserve">Last review</t>
  </si>
  <si>
    <t xml:space="preserve">Next review</t>
  </si>
  <si>
    <t xml:space="preserve">R-001</t>
  </si>
  <si>
    <t xml:space="preserve">Because the bank API sandbox has no certification slot before November, there is a possibility that connectivity testing slips, resulting in a Gate 4 delay</t>
  </si>
  <si>
    <t xml:space="preserve">Risk</t>
  </si>
  <si>
    <t xml:space="preserve">Technical</t>
  </si>
  <si>
    <t xml:space="preserve">Medium</t>
  </si>
  <si>
    <t xml:space="preserve">High</t>
  </si>
  <si>
    <t xml:space="preserve">Technical Lead</t>
  </si>
  <si>
    <t xml:space="preserve">Reduce</t>
  </si>
  <si>
    <t xml:space="preserve">Book a certification slot and prepare an aggregator fallback path</t>
  </si>
  <si>
    <t xml:space="preserve">2026-10-15</t>
  </si>
  <si>
    <t xml:space="preserve">Moderate</t>
  </si>
  <si>
    <t xml:space="preserve">Open</t>
  </si>
  <si>
    <t xml:space="preserve">2026-09-15</t>
  </si>
  <si>
    <t xml:space="preserve">2026-09-29</t>
  </si>
  <si>
    <t xml:space="preserve">Row 5 is a worked example. Delete it or keep it below your live entries.</t>
  </si>
  <si>
    <t xml:space="preserve">Change Requests</t>
  </si>
  <si>
    <t xml:space="preserve">A change becomes part of the project only after need, impact, alternatives, risks, cost, schedule, quality and benefits are assessed and the correct authority approves it.</t>
  </si>
  <si>
    <t xml:space="preserve">Change ID</t>
  </si>
  <si>
    <t xml:space="preserve">Date</t>
  </si>
  <si>
    <t xml:space="preserve">Requester</t>
  </si>
  <si>
    <t xml:space="preserve">Requested change and reason</t>
  </si>
  <si>
    <t xml:space="preserve">Urgency and consequence of delay</t>
  </si>
  <si>
    <t xml:space="preserve">Scope and requirements impact</t>
  </si>
  <si>
    <t xml:space="preserve">Schedule and milestone impact</t>
  </si>
  <si>
    <t xml:space="preserve">Cost, resources and procurement impact</t>
  </si>
  <si>
    <t xml:space="preserve">Quality, security, privacy and operational impact</t>
  </si>
  <si>
    <t xml:space="preserve">Risk, benefit and stakeholder impact</t>
  </si>
  <si>
    <t xml:space="preserve">Options considered</t>
  </si>
  <si>
    <t xml:space="preserve">Recommendation</t>
  </si>
  <si>
    <t xml:space="preserve">Decision and conditions</t>
  </si>
  <si>
    <t xml:space="preserve">Change authority</t>
  </si>
  <si>
    <t xml:space="preserve">Baselines updated by</t>
  </si>
  <si>
    <t xml:space="preserve">Implementation verified</t>
  </si>
  <si>
    <t xml:space="preserve">CR-001</t>
  </si>
  <si>
    <t xml:space="preserve">2026-09-20</t>
  </si>
  <si>
    <t xml:space="preserve">Product Owner</t>
  </si>
  <si>
    <t xml:space="preserve">Add multi-currency display conversion to the first release</t>
  </si>
  <si>
    <t xml:space="preserve">Medium - client demonstration on 12 November</t>
  </si>
  <si>
    <t xml:space="preserve">Adds 3 requirements and 2 acceptance criteria</t>
  </si>
  <si>
    <t xml:space="preserve">+5 business days on the build milestone</t>
  </si>
  <si>
    <t xml:space="preserve">+GHS 4,000 contractor effort</t>
  </si>
  <si>
    <t xml:space="preserve">Adds an exchange-rate dependency requiring availability monitoring</t>
  </si>
  <si>
    <t xml:space="preserve">Improves client acceptance likelihood; adds a third-party dependency risk</t>
  </si>
  <si>
    <t xml:space="preserve">Reject / defer / substitute / reduce other scope / approve</t>
  </si>
  <si>
    <t xml:space="preserve">Approve with a rate-provider fallback</t>
  </si>
  <si>
    <t xml:space="preserve">Approved with conditions</t>
  </si>
  <si>
    <t xml:space="preserve">Project Manager</t>
  </si>
  <si>
    <t xml:space="preserve">Pending</t>
  </si>
  <si>
    <t xml:space="preserve">Exceptions</t>
  </si>
  <si>
    <t xml:space="preserve">Types: Exception (approved, time-bound deviation) or Non-conformance (required process or evidence absent, inaccurate or bypassed). An expired exception is non-compliance. An exception may never authorise unlawful conduct. Critical non-conformance blocks the relevant gate.</t>
  </si>
  <si>
    <t xml:space="preserve">Exception ID</t>
  </si>
  <si>
    <t xml:space="preserve">Date raised</t>
  </si>
  <si>
    <t xml:space="preserve">Exact requirement that cannot be met</t>
  </si>
  <si>
    <t xml:space="preserve">Business and technical reason</t>
  </si>
  <si>
    <t xml:space="preserve">Affected systems, data, users</t>
  </si>
  <si>
    <t xml:space="preserve">Duration</t>
  </si>
  <si>
    <t xml:space="preserve">Risk assessment</t>
  </si>
  <si>
    <t xml:space="preserve">Accountable risk owner</t>
  </si>
  <si>
    <t xml:space="preserve">Compensating controls</t>
  </si>
  <si>
    <t xml:space="preserve">Validation evidence</t>
  </si>
  <si>
    <t xml:space="preserve">Remediation plan and owner</t>
  </si>
  <si>
    <t xml:space="preserve">Expiry date</t>
  </si>
  <si>
    <t xml:space="preserve">Approval level and approver</t>
  </si>
  <si>
    <t xml:space="preserve">EX-001</t>
  </si>
  <si>
    <t xml:space="preserve">2026-09-22</t>
  </si>
  <si>
    <t xml:space="preserve">Exception</t>
  </si>
  <si>
    <t xml:space="preserve">Independent QA for a Class 3 release (Appendix A testing floor)</t>
  </si>
  <si>
    <t xml:space="preserve">No second qualified tester available in the delivery window</t>
  </si>
  <si>
    <t xml:space="preserve">Bank connectivity module; no personal data in test</t>
  </si>
  <si>
    <t xml:space="preserve">Until 2026-11-30</t>
  </si>
  <si>
    <t xml:space="preserve">Moderate residual risk of undetected regression</t>
  </si>
  <si>
    <t xml:space="preserve">External reviewer appointed for regression evidence; extended smoke test set</t>
  </si>
  <si>
    <t xml:space="preserve">Reviewer report and test results attached</t>
  </si>
  <si>
    <t xml:space="preserve">Recruit or contract a QA reviewer before the next release - Delivery Lead</t>
  </si>
  <si>
    <t xml:space="preserve">2026-11-30</t>
  </si>
  <si>
    <t xml:space="preserve">Project Authority</t>
  </si>
  <si>
    <t xml:space="preserve">Emergency Changes</t>
  </si>
  <si>
    <t xml:space="preserve">Software, production-service or client-data emergencies follow the SDLC emergency-change procedure: named authority and deputy, non-waivable minimum record, deferrable-evidence list and a retrospective review within 72 hours of stabilisation. All other projects: Sponsor records the same elements and convenes a review within 5 business days.</t>
  </si>
  <si>
    <t xml:space="preserve">Emergency ID</t>
  </si>
  <si>
    <t xml:space="preserve">Incident / change identifier</t>
  </si>
  <si>
    <t xml:space="preserve">Date and time</t>
  </si>
  <si>
    <t xml:space="preserve">Authoriser</t>
  </si>
  <si>
    <t xml:space="preserve">Operator</t>
  </si>
  <si>
    <t xml:space="preserve">Reason (contain / restore / prevent harm / urgent security)</t>
  </si>
  <si>
    <t xml:space="preserve">Scope</t>
  </si>
  <si>
    <t xml:space="preserve">Least-privileged access used</t>
  </si>
  <si>
    <t xml:space="preserve">Activity logs protected</t>
  </si>
  <si>
    <t xml:space="preserve">Backup taken or reason unsafe</t>
  </si>
  <si>
    <t xml:space="preserve">Rollback or containment path</t>
  </si>
  <si>
    <t xml:space="preserve">Smoke / safety verification</t>
  </si>
  <si>
    <t xml:space="preserve">Deferred evidence and owners</t>
  </si>
  <si>
    <t xml:space="preserve">Due dates</t>
  </si>
  <si>
    <t xml:space="preserve">Retrospective review date</t>
  </si>
  <si>
    <t xml:space="preserve">Review outcome</t>
  </si>
  <si>
    <t xml:space="preserve">Repeat? Problem record raised</t>
  </si>
  <si>
    <t xml:space="preserve">EM-001</t>
  </si>
  <si>
    <t xml:space="preserve">INC-2026-041</t>
  </si>
  <si>
    <t xml:space="preserve">2026-11-04 22:10</t>
  </si>
  <si>
    <t xml:space="preserve">On-call engineer</t>
  </si>
  <si>
    <t xml:space="preserve">Service Owner</t>
  </si>
  <si>
    <t xml:space="preserve">DevOps engineer</t>
  </si>
  <si>
    <t xml:space="preserve">Restore a failed service</t>
  </si>
  <si>
    <t xml:space="preserve">Payments read API pod restart and config rollback</t>
  </si>
  <si>
    <t xml:space="preserve">Yes</t>
  </si>
  <si>
    <t xml:space="preserve">Yes - snapshot 22:05</t>
  </si>
  <si>
    <t xml:space="preserve">Revert to build 1.4.2</t>
  </si>
  <si>
    <t xml:space="preserve">Smoke suite passed 22:35</t>
  </si>
  <si>
    <t xml:space="preserve">Full regression pack; final release notes</t>
  </si>
  <si>
    <t xml:space="preserve">2026-11-07</t>
  </si>
  <si>
    <t xml:space="preserve">2026-11-06</t>
  </si>
  <si>
    <t xml:space="preserve">Change retained; root cause assigned</t>
  </si>
  <si>
    <t xml:space="preserve">No</t>
  </si>
  <si>
    <t xml:space="preserve">Decision Log</t>
  </si>
  <si>
    <t xml:space="preserve">Gate decisions are one of: Approve, Approve with conditions, Hold, Redirect, Terminate. Unresolved critical conditions cannot be treated as 'approve with conditions'.</t>
  </si>
  <si>
    <t xml:space="preserve">Decision ID</t>
  </si>
  <si>
    <t xml:space="preserve">Gate or trigger</t>
  </si>
  <si>
    <t xml:space="preserve">Decision requested</t>
  </si>
  <si>
    <t xml:space="preserve">Authority</t>
  </si>
  <si>
    <t xml:space="preserve">Evidence reviewed</t>
  </si>
  <si>
    <t xml:space="preserve">Decision</t>
  </si>
  <si>
    <t xml:space="preserve">Conditions</t>
  </si>
  <si>
    <t xml:space="preserve">Dissent recorded</t>
  </si>
  <si>
    <t xml:space="preserve">Condition owner</t>
  </si>
  <si>
    <t xml:space="preserve">Condition due date</t>
  </si>
  <si>
    <t xml:space="preserve">D-001</t>
  </si>
  <si>
    <t xml:space="preserve">2026-09-30</t>
  </si>
  <si>
    <t xml:space="preserve">Gate 3 / G2</t>
  </si>
  <si>
    <t xml:space="preserve">Approve baselines and authorise execution</t>
  </si>
  <si>
    <t xml:space="preserve">Integrated plan, architecture, threat model, test strategy, benefits funding</t>
  </si>
  <si>
    <t xml:space="preserve">Approve with conditions</t>
  </si>
  <si>
    <t xml:space="preserve">Confirm the QA reviewer before the first build increment</t>
  </si>
  <si>
    <t xml:space="preserve">None</t>
  </si>
  <si>
    <t xml:space="preserve">Delivery Lead</t>
  </si>
  <si>
    <t xml:space="preserve">2026-10-10</t>
  </si>
  <si>
    <t xml:space="preserve">Year-One mandatory measurement set</t>
  </si>
  <si>
    <t xml:space="preserve">Both frameworks make five measures mandatory from the effective date of 31 October 2026. Record the current value at the stated frequency.</t>
  </si>
  <si>
    <t xml:space="preserve">Measure and calculation</t>
  </si>
  <si>
    <t xml:space="preserve">Source / owner</t>
  </si>
  <si>
    <t xml:space="preserve">Frequency</t>
  </si>
  <si>
    <t xml:space="preserve">Year-One target</t>
  </si>
  <si>
    <t xml:space="preserve">Current value</t>
  </si>
  <si>
    <t xml:space="preserve">As at date</t>
  </si>
  <si>
    <t xml:space="preserve">Milestone reliability = milestones achieved on or before the approved date / milestones due</t>
  </si>
  <si>
    <t xml:space="preserve">Approved schedule and status reports / Project Manager; consolidated by Framework Owner</t>
  </si>
  <si>
    <t xml:space="preserve">Monthly</t>
  </si>
  <si>
    <t xml:space="preserve">At least 85% portfolio-wide</t>
  </si>
  <si>
    <t xml:space="preserve">Absolute cost forecast variance = |forecast total cost - approved budget| / approved budget</t>
  </si>
  <si>
    <t xml:space="preserve">Budget, commitments and forecast / Project Manager and Finance</t>
  </si>
  <si>
    <t xml:space="preserve">Within class tolerance: A 5%, B 10%, C 15%</t>
  </si>
  <si>
    <t xml:space="preserve">First-pass acceptance rate = deliverables accepted without material rework / deliverables presented</t>
  </si>
  <si>
    <t xml:space="preserve">Acceptance and defect records / Quality Reviewer or acceptance authority</t>
  </si>
  <si>
    <t xml:space="preserve">At each acceptance event; quarterly portfolio total</t>
  </si>
  <si>
    <t xml:space="preserve">At least 90%</t>
  </si>
  <si>
    <t xml:space="preserve">Overdue critical risk actions = count of critical-risk actions past their approved due date</t>
  </si>
  <si>
    <t xml:space="preserve">Risk register / Project Manager; challenged by Assurance</t>
  </si>
  <si>
    <t xml:space="preserve">Weekly on project; monthly portfolio total</t>
  </si>
  <si>
    <t xml:space="preserve">Zero overdue critical actions</t>
  </si>
  <si>
    <t xml:space="preserve">On-time Gate 7 completion = Gate 7 decisions completed by due date / Gate 7 reviews due</t>
  </si>
  <si>
    <t xml:space="preserve">Project register and benefits records / Framework Owner and Sponsor</t>
  </si>
  <si>
    <t xml:space="preserve">Monthly tracking; quarterly report</t>
  </si>
  <si>
    <t xml:space="preserve">100% completed on time</t>
  </si>
  <si>
    <t xml:space="preserve">Delivery flow: median lead time from authorised work item to accepted release, with material delay reasons</t>
  </si>
  <si>
    <t xml:space="preserve">Delivery lead</t>
  </si>
  <si>
    <t xml:space="preserve">Set by project; trend must not deteriorate</t>
  </si>
  <si>
    <t xml:space="preserve">Defect escape rate = production defects / total defects found in testing and production, reported with severity</t>
  </si>
  <si>
    <t xml:space="preserve">QA lead</t>
  </si>
  <si>
    <t xml:space="preserve">Per release and quarterly</t>
  </si>
  <si>
    <t xml:space="preserve">Set by project; severity trend reported</t>
  </si>
  <si>
    <t xml:space="preserve">Availability: observed production-service availability against the approved service target</t>
  </si>
  <si>
    <t xml:space="preserve">Approved service target</t>
  </si>
  <si>
    <t xml:space="preserve">Open vulnerability age by severity against institutional service targets</t>
  </si>
  <si>
    <t xml:space="preserve">Technical / security owner</t>
  </si>
  <si>
    <t xml:space="preserve">Within the Class service targets</t>
  </si>
  <si>
    <t xml:space="preserve">Gate compliance = applicable gates with required evidence and approval recorded before the governed commitment</t>
  </si>
  <si>
    <t xml:space="preserve">Freston Kenny Adedeme, Framework Owner</t>
  </si>
  <si>
    <t xml:space="preserve">Quarterly</t>
  </si>
  <si>
    <t xml:space="preserve">100%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</si>
</sst>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33"/>
      <name val="Arial"/>
      <family val="0"/>
      <charset val="1"/>
    </font>
    <font>
      <sz val="9"/>
      <color rgb="FF4A5A62"/>
      <name val="Arial"/>
      <family val="0"/>
      <charset val="1"/>
    </font>
    <font>
      <b val="true"/>
      <sz val="11"/>
      <color rgb="FF1B2A33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B2A33"/>
      <name val="Arial"/>
      <family val="0"/>
      <charset val="1"/>
    </font>
    <font>
      <i val="true"/>
      <sz val="9"/>
      <color rgb="FF6B7A8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33"/>
        <bgColor rgb="FF222222"/>
      </patternFill>
    </fill>
    <fill>
      <patternFill patternType="solid">
        <fgColor rgb="FFFFF6D6"/>
        <bgColor rgb="FFF2F5F4"/>
      </patternFill>
    </fill>
    <fill>
      <patternFill patternType="solid">
        <fgColor rgb="FFE8EDEC"/>
        <bgColor rgb="FFF2F5F4"/>
      </patternFill>
    </fill>
    <fill>
      <patternFill patternType="solid">
        <fgColor rgb="FFF2F5F4"/>
        <bgColor rgb="FFE8ED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4C2"/>
      </left>
      <right style="thin">
        <color rgb="FFB9C4C2"/>
      </right>
      <top style="thin">
        <color rgb="FFB9C4C2"/>
      </top>
      <bottom style="thin">
        <color rgb="FFB9C4C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4C2"/>
      <rgbColor rgb="FF6B7A82"/>
      <rgbColor rgb="FF9999FF"/>
      <rgbColor rgb="FF993366"/>
      <rgbColor rgb="FFFFF6D6"/>
      <rgbColor rgb="FFE8ED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5F4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A62"/>
      <rgbColor rgb="FF969696"/>
      <rgbColor rgb="FF0F5C4A"/>
      <rgbColor rgb="FF339966"/>
      <rgbColor rgb="FF003300"/>
      <rgbColor rgb="FF222222"/>
      <rgbColor rgb="FF993300"/>
      <rgbColor rgb="FF993366"/>
      <rgbColor rgb="FF333399"/>
      <rgbColor rgb="FF1B2A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5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46"/>
  </cols>
  <sheetData>
    <row r="1" customFormat="false" ht="17.35" hidden="false" customHeight="false" outlineLevel="0" collapsed="false">
      <c r="A1" s="1" t="s">
        <v>0</v>
      </c>
      <c r="B1" s="1"/>
      <c r="C1" s="1"/>
    </row>
    <row r="2" customFormat="false" ht="25.5" hidden="false" customHeight="tru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</row>
    <row r="5" customFormat="false" ht="27.75" hidden="false" customHeight="true" outlineLevel="0" collapsed="false">
      <c r="A5" s="4" t="s">
        <v>3</v>
      </c>
      <c r="B5" s="4"/>
      <c r="C5" s="4"/>
    </row>
    <row r="6" customFormat="false" ht="27.75" hidden="false" customHeight="true" outlineLevel="0" collapsed="false">
      <c r="A6" s="4" t="s">
        <v>4</v>
      </c>
      <c r="B6" s="4"/>
      <c r="C6" s="4"/>
    </row>
    <row r="7" customFormat="false" ht="27.75" hidden="false" customHeight="true" outlineLevel="0" collapsed="false">
      <c r="A7" s="4" t="s">
        <v>5</v>
      </c>
      <c r="B7" s="4"/>
      <c r="C7" s="4"/>
    </row>
    <row r="8" customFormat="false" ht="27.75" hidden="false" customHeight="true" outlineLevel="0" collapsed="false">
      <c r="A8" s="4" t="s">
        <v>6</v>
      </c>
      <c r="B8" s="4"/>
      <c r="C8" s="4"/>
    </row>
    <row r="9" customFormat="false" ht="27.75" hidden="false" customHeight="true" outlineLevel="0" collapsed="false">
      <c r="A9" s="4" t="s">
        <v>7</v>
      </c>
      <c r="B9" s="4"/>
      <c r="C9" s="4"/>
    </row>
    <row r="10" customFormat="false" ht="27.75" hidden="false" customHeight="true" outlineLevel="0" collapsed="false">
      <c r="A10" s="4" t="s">
        <v>8</v>
      </c>
      <c r="B10" s="4"/>
      <c r="C10" s="4"/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5" t="s">
        <v>10</v>
      </c>
      <c r="B13" s="5" t="s">
        <v>11</v>
      </c>
      <c r="C13" s="5" t="s">
        <v>12</v>
      </c>
    </row>
    <row r="14" customFormat="false" ht="15" hidden="false" customHeight="false" outlineLevel="0" collapsed="false">
      <c r="A14" s="6" t="s">
        <v>13</v>
      </c>
      <c r="B14" s="7" t="s">
        <v>14</v>
      </c>
      <c r="C14" s="6" t="s">
        <v>15</v>
      </c>
    </row>
    <row r="15" customFormat="false" ht="15" hidden="false" customHeight="false" outlineLevel="0" collapsed="false">
      <c r="A15" s="6" t="s">
        <v>16</v>
      </c>
      <c r="B15" s="7" t="s">
        <v>17</v>
      </c>
      <c r="C15" s="6" t="s">
        <v>15</v>
      </c>
    </row>
    <row r="16" customFormat="false" ht="15" hidden="false" customHeight="false" outlineLevel="0" collapsed="false">
      <c r="A16" s="6" t="s">
        <v>18</v>
      </c>
      <c r="B16" s="7" t="s">
        <v>19</v>
      </c>
      <c r="C16" s="6" t="s">
        <v>20</v>
      </c>
    </row>
    <row r="17" customFormat="false" ht="15" hidden="false" customHeight="false" outlineLevel="0" collapsed="false">
      <c r="A17" s="6" t="s">
        <v>21</v>
      </c>
      <c r="B17" s="7" t="s">
        <v>22</v>
      </c>
      <c r="C17" s="6" t="s">
        <v>23</v>
      </c>
    </row>
    <row r="18" customFormat="false" ht="15" hidden="false" customHeight="false" outlineLevel="0" collapsed="false">
      <c r="A18" s="6" t="s">
        <v>24</v>
      </c>
      <c r="B18" s="7" t="s">
        <v>25</v>
      </c>
      <c r="C18" s="6" t="s">
        <v>26</v>
      </c>
    </row>
    <row r="19" customFormat="false" ht="15" hidden="false" customHeight="false" outlineLevel="0" collapsed="false">
      <c r="A19" s="6" t="s">
        <v>27</v>
      </c>
      <c r="B19" s="7" t="s">
        <v>28</v>
      </c>
      <c r="C19" s="6" t="s">
        <v>29</v>
      </c>
    </row>
    <row r="20" customFormat="false" ht="23.85" hidden="false" customHeight="false" outlineLevel="0" collapsed="false">
      <c r="A20" s="6" t="s">
        <v>30</v>
      </c>
      <c r="B20" s="7" t="s">
        <v>31</v>
      </c>
      <c r="C20" s="6" t="s">
        <v>32</v>
      </c>
    </row>
    <row r="21" customFormat="false" ht="15" hidden="false" customHeight="false" outlineLevel="0" collapsed="false">
      <c r="A21" s="6" t="s">
        <v>33</v>
      </c>
      <c r="B21" s="7" t="s">
        <v>34</v>
      </c>
      <c r="C21" s="6" t="s">
        <v>35</v>
      </c>
    </row>
    <row r="23" customFormat="false" ht="15" hidden="false" customHeight="false" outlineLevel="0" collapsed="false">
      <c r="A23" s="3" t="s">
        <v>36</v>
      </c>
    </row>
    <row r="24" customFormat="false" ht="15" hidden="false" customHeight="false" outlineLevel="0" collapsed="false">
      <c r="A24" s="5" t="s">
        <v>37</v>
      </c>
      <c r="B24" s="5" t="s">
        <v>38</v>
      </c>
      <c r="C24" s="5" t="s">
        <v>39</v>
      </c>
    </row>
    <row r="25" customFormat="false" ht="15" hidden="false" customHeight="false" outlineLevel="0" collapsed="false">
      <c r="A25" s="6" t="s">
        <v>40</v>
      </c>
      <c r="B25" s="7"/>
      <c r="C25" s="6" t="s">
        <v>41</v>
      </c>
    </row>
    <row r="26" customFormat="false" ht="15" hidden="false" customHeight="false" outlineLevel="0" collapsed="false">
      <c r="A26" s="6" t="s">
        <v>42</v>
      </c>
      <c r="B26" s="7"/>
      <c r="C26" s="6" t="s">
        <v>43</v>
      </c>
    </row>
    <row r="27" customFormat="false" ht="23.85" hidden="false" customHeight="false" outlineLevel="0" collapsed="false">
      <c r="A27" s="6" t="s">
        <v>44</v>
      </c>
      <c r="B27" s="7"/>
      <c r="C27" s="6" t="s">
        <v>45</v>
      </c>
    </row>
    <row r="28" customFormat="false" ht="23.85" hidden="false" customHeight="false" outlineLevel="0" collapsed="false">
      <c r="A28" s="6" t="s">
        <v>46</v>
      </c>
      <c r="B28" s="7"/>
      <c r="C28" s="6" t="s">
        <v>47</v>
      </c>
    </row>
    <row r="29" customFormat="false" ht="15" hidden="false" customHeight="false" outlineLevel="0" collapsed="false">
      <c r="A29" s="6" t="s">
        <v>48</v>
      </c>
      <c r="B29" s="7"/>
      <c r="C29" s="6" t="s">
        <v>49</v>
      </c>
    </row>
    <row r="30" customFormat="false" ht="15" hidden="false" customHeight="false" outlineLevel="0" collapsed="false">
      <c r="A30" s="6" t="s">
        <v>50</v>
      </c>
      <c r="B30" s="7"/>
      <c r="C30" s="6" t="s">
        <v>51</v>
      </c>
    </row>
    <row r="31" customFormat="false" ht="15" hidden="false" customHeight="false" outlineLevel="0" collapsed="false">
      <c r="A31" s="6" t="s">
        <v>52</v>
      </c>
      <c r="B31" s="7"/>
      <c r="C31" s="6" t="s">
        <v>53</v>
      </c>
    </row>
    <row r="32" customFormat="false" ht="23.85" hidden="false" customHeight="false" outlineLevel="0" collapsed="false">
      <c r="A32" s="6" t="s">
        <v>54</v>
      </c>
      <c r="B32" s="7"/>
      <c r="C32" s="6" t="s">
        <v>55</v>
      </c>
    </row>
    <row r="33" customFormat="false" ht="15" hidden="false" customHeight="false" outlineLevel="0" collapsed="false">
      <c r="A33" s="6" t="s">
        <v>56</v>
      </c>
      <c r="B33" s="7"/>
      <c r="C33" s="6"/>
    </row>
    <row r="34" customFormat="false" ht="15" hidden="false" customHeight="false" outlineLevel="0" collapsed="false">
      <c r="A34" s="6" t="s">
        <v>57</v>
      </c>
      <c r="B34" s="7"/>
      <c r="C34" s="6"/>
    </row>
    <row r="35" customFormat="false" ht="15" hidden="false" customHeight="false" outlineLevel="0" collapsed="false">
      <c r="A35" s="6" t="s">
        <v>58</v>
      </c>
      <c r="B35" s="7"/>
      <c r="C35" s="6" t="s">
        <v>59</v>
      </c>
    </row>
    <row r="36" customFormat="false" ht="15" hidden="false" customHeight="false" outlineLevel="0" collapsed="false">
      <c r="A36" s="6" t="s">
        <v>60</v>
      </c>
      <c r="B36" s="7"/>
      <c r="C36" s="6" t="s">
        <v>61</v>
      </c>
    </row>
    <row r="37" customFormat="false" ht="15" hidden="false" customHeight="false" outlineLevel="0" collapsed="false">
      <c r="A37" s="6" t="s">
        <v>62</v>
      </c>
      <c r="B37" s="7"/>
      <c r="C37" s="6" t="s">
        <v>63</v>
      </c>
    </row>
    <row r="38" customFormat="false" ht="23.85" hidden="false" customHeight="false" outlineLevel="0" collapsed="false">
      <c r="A38" s="6" t="s">
        <v>64</v>
      </c>
      <c r="B38" s="7"/>
      <c r="C38" s="6" t="s">
        <v>65</v>
      </c>
    </row>
    <row r="39" customFormat="false" ht="15" hidden="false" customHeight="false" outlineLevel="0" collapsed="false">
      <c r="A39" s="6" t="s">
        <v>66</v>
      </c>
      <c r="B39" s="7"/>
      <c r="C39" s="6"/>
    </row>
    <row r="40" customFormat="false" ht="15" hidden="false" customHeight="false" outlineLevel="0" collapsed="false">
      <c r="A40" s="6" t="s">
        <v>67</v>
      </c>
      <c r="B40" s="7"/>
      <c r="C40" s="6" t="s">
        <v>68</v>
      </c>
    </row>
    <row r="41" customFormat="false" ht="15" hidden="false" customHeight="false" outlineLevel="0" collapsed="false">
      <c r="A41" s="6" t="s">
        <v>69</v>
      </c>
      <c r="B41" s="7"/>
      <c r="C41" s="6" t="s">
        <v>70</v>
      </c>
    </row>
    <row r="42" customFormat="false" ht="15" hidden="false" customHeight="false" outlineLevel="0" collapsed="false">
      <c r="A42" s="6" t="s">
        <v>71</v>
      </c>
      <c r="B42" s="7"/>
      <c r="C42" s="6" t="s">
        <v>70</v>
      </c>
    </row>
    <row r="43" customFormat="false" ht="15" hidden="false" customHeight="false" outlineLevel="0" collapsed="false">
      <c r="A43" s="6" t="s">
        <v>72</v>
      </c>
      <c r="B43" s="7"/>
      <c r="C43" s="6"/>
    </row>
    <row r="44" customFormat="false" ht="15" hidden="false" customHeight="false" outlineLevel="0" collapsed="false">
      <c r="A44" s="6" t="s">
        <v>73</v>
      </c>
      <c r="B44" s="7"/>
      <c r="C44" s="6"/>
    </row>
    <row r="45" customFormat="false" ht="23.85" hidden="false" customHeight="false" outlineLevel="0" collapsed="false">
      <c r="A45" s="6" t="s">
        <v>74</v>
      </c>
      <c r="B45" s="7"/>
      <c r="C45" s="6" t="s">
        <v>75</v>
      </c>
    </row>
    <row r="46" customFormat="false" ht="15" hidden="false" customHeight="false" outlineLevel="0" collapsed="false">
      <c r="A46" s="6" t="s">
        <v>76</v>
      </c>
      <c r="B46" s="7"/>
      <c r="C46" s="6" t="s">
        <v>77</v>
      </c>
    </row>
    <row r="47" customFormat="false" ht="15" hidden="false" customHeight="false" outlineLevel="0" collapsed="false">
      <c r="A47" s="6" t="s">
        <v>78</v>
      </c>
      <c r="B47" s="7"/>
      <c r="C47" s="6" t="s">
        <v>79</v>
      </c>
    </row>
    <row r="48" customFormat="false" ht="23.85" hidden="false" customHeight="false" outlineLevel="0" collapsed="false">
      <c r="A48" s="6" t="s">
        <v>80</v>
      </c>
      <c r="B48" s="7"/>
      <c r="C48" s="6" t="s">
        <v>81</v>
      </c>
    </row>
    <row r="49" customFormat="false" ht="15" hidden="false" customHeight="false" outlineLevel="0" collapsed="false">
      <c r="A49" s="6" t="s">
        <v>82</v>
      </c>
      <c r="B49" s="7"/>
      <c r="C49" s="6" t="s">
        <v>83</v>
      </c>
    </row>
    <row r="50" customFormat="false" ht="23.85" hidden="false" customHeight="false" outlineLevel="0" collapsed="false">
      <c r="A50" s="6" t="s">
        <v>84</v>
      </c>
      <c r="B50" s="7"/>
      <c r="C50" s="6" t="s">
        <v>85</v>
      </c>
    </row>
    <row r="52" customFormat="false" ht="15" hidden="false" customHeight="false" outlineLevel="0" collapsed="false">
      <c r="A52" s="3" t="s">
        <v>86</v>
      </c>
    </row>
    <row r="53" customFormat="false" ht="15" hidden="false" customHeight="false" outlineLevel="0" collapsed="false">
      <c r="A53" s="8" t="s">
        <v>87</v>
      </c>
      <c r="B53" s="8"/>
      <c r="C53" s="8"/>
    </row>
    <row r="54" customFormat="false" ht="15" hidden="false" customHeight="false" outlineLevel="0" collapsed="false">
      <c r="A54" s="8" t="s">
        <v>88</v>
      </c>
      <c r="B54" s="8"/>
      <c r="C54" s="8"/>
    </row>
    <row r="55" customFormat="false" ht="15" hidden="false" customHeight="false" outlineLevel="0" collapsed="false">
      <c r="A55" s="8" t="s">
        <v>89</v>
      </c>
      <c r="B55" s="8"/>
      <c r="C55" s="8"/>
    </row>
  </sheetData>
  <mergeCells count="11">
    <mergeCell ref="A1:C1"/>
    <mergeCell ref="A2:C2"/>
    <mergeCell ref="A5:C5"/>
    <mergeCell ref="A6:C6"/>
    <mergeCell ref="A7:C7"/>
    <mergeCell ref="A8:C8"/>
    <mergeCell ref="A9:C9"/>
    <mergeCell ref="A10:C10"/>
    <mergeCell ref="A53:C53"/>
    <mergeCell ref="A54:C54"/>
    <mergeCell ref="A55:C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32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1" min="10" style="0" width="24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1" t="s">
        <v>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5.5" hidden="false" customHeight="true" outlineLevel="0" collapsed="false">
      <c r="A2" s="2" t="s">
        <v>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5" t="s">
        <v>92</v>
      </c>
      <c r="B4" s="5" t="s">
        <v>13</v>
      </c>
      <c r="C4" s="5" t="s">
        <v>93</v>
      </c>
      <c r="D4" s="5" t="s">
        <v>94</v>
      </c>
      <c r="E4" s="5" t="s">
        <v>19</v>
      </c>
      <c r="F4" s="5" t="s">
        <v>95</v>
      </c>
      <c r="G4" s="5" t="s">
        <v>96</v>
      </c>
      <c r="H4" s="5" t="s">
        <v>97</v>
      </c>
      <c r="I4" s="5" t="s">
        <v>98</v>
      </c>
      <c r="J4" s="5" t="s">
        <v>99</v>
      </c>
      <c r="K4" s="5" t="s">
        <v>100</v>
      </c>
      <c r="L4" s="5" t="s">
        <v>101</v>
      </c>
    </row>
    <row r="5" customFormat="false" ht="15" hidden="false" customHeight="false" outlineLevel="0" collapsed="false">
      <c r="A5" s="6" t="s">
        <v>102</v>
      </c>
      <c r="B5" s="6" t="s">
        <v>103</v>
      </c>
      <c r="C5" s="6" t="s">
        <v>104</v>
      </c>
      <c r="D5" s="6" t="n">
        <f aca="false">COUNTIF('PM Gates 1-7'!$A$5:$A$101,B5)</f>
        <v>11</v>
      </c>
      <c r="E5" s="6" t="n">
        <f aca="false">COUNTIFS('PM Gates 1-7'!$A$5:$A$101,B5,'PM Gates 1-7'!$G$5:$G$101,"Complete")</f>
        <v>0</v>
      </c>
      <c r="F5" s="6" t="n">
        <f aca="false">COUNTIFS('PM Gates 1-7'!$A$5:$A$101,B5,'PM Gates 1-7'!$G$5:$G$101,"In progress")+COUNTIFS('PM Gates 1-7'!$A$5:$A$101,B5,'PM Gates 1-7'!$G$5:$G$101,"Submitted for review")</f>
        <v>0</v>
      </c>
      <c r="G5" s="6" t="n">
        <f aca="false">COUNTIFS('PM Gates 1-7'!$A$5:$A$101,B5,'PM Gates 1-7'!$G$5:$G$101,"Not applicable")+COUNTIFS('PM Gates 1-7'!$A$5:$A$101,B5,'PM Gates 1-7'!$G$5:$G$101,"Exception approved")</f>
        <v>0</v>
      </c>
      <c r="H5" s="6" t="n">
        <f aca="false">D5-E5-G5</f>
        <v>11</v>
      </c>
      <c r="I5" s="9" t="n">
        <f aca="false">IFERROR(E5/(D5-G5),0)</f>
        <v>0</v>
      </c>
      <c r="J5" s="6" t="str">
        <f aca="false">IF(D5-G5=0,"All items tailored out",IF(H5=0,"Evidence complete",H5&amp;" item(s) outstanding"))</f>
        <v>11 item(s) outstanding</v>
      </c>
      <c r="K5" s="7" t="s">
        <v>105</v>
      </c>
      <c r="L5" s="7"/>
    </row>
    <row r="6" customFormat="false" ht="15" hidden="false" customHeight="false" outlineLevel="0" collapsed="false">
      <c r="A6" s="6" t="s">
        <v>102</v>
      </c>
      <c r="B6" s="6" t="s">
        <v>106</v>
      </c>
      <c r="C6" s="6" t="s">
        <v>107</v>
      </c>
      <c r="D6" s="6" t="n">
        <f aca="false">COUNTIF('PM Gates 1-7'!$A$5:$A$101,B6)</f>
        <v>12</v>
      </c>
      <c r="E6" s="6" t="n">
        <f aca="false">COUNTIFS('PM Gates 1-7'!$A$5:$A$101,B6,'PM Gates 1-7'!$G$5:$G$101,"Complete")</f>
        <v>0</v>
      </c>
      <c r="F6" s="6" t="n">
        <f aca="false">COUNTIFS('PM Gates 1-7'!$A$5:$A$101,B6,'PM Gates 1-7'!$G$5:$G$101,"In progress")+COUNTIFS('PM Gates 1-7'!$A$5:$A$101,B6,'PM Gates 1-7'!$G$5:$G$101,"Submitted for review")</f>
        <v>0</v>
      </c>
      <c r="G6" s="6" t="n">
        <f aca="false">COUNTIFS('PM Gates 1-7'!$A$5:$A$101,B6,'PM Gates 1-7'!$G$5:$G$101,"Not applicable")+COUNTIFS('PM Gates 1-7'!$A$5:$A$101,B6,'PM Gates 1-7'!$G$5:$G$101,"Exception approved")</f>
        <v>0</v>
      </c>
      <c r="H6" s="6" t="n">
        <f aca="false">D6-E6-G6</f>
        <v>12</v>
      </c>
      <c r="I6" s="9" t="n">
        <f aca="false">IFERROR(E6/(D6-G6),0)</f>
        <v>0</v>
      </c>
      <c r="J6" s="6" t="str">
        <f aca="false">IF(D6-G6=0,"All items tailored out",IF(H6=0,"Evidence complete",H6&amp;" item(s) outstanding"))</f>
        <v>12 item(s) outstanding</v>
      </c>
      <c r="K6" s="7" t="s">
        <v>105</v>
      </c>
      <c r="L6" s="7"/>
    </row>
    <row r="7" customFormat="false" ht="15" hidden="false" customHeight="false" outlineLevel="0" collapsed="false">
      <c r="A7" s="6" t="s">
        <v>102</v>
      </c>
      <c r="B7" s="6" t="s">
        <v>108</v>
      </c>
      <c r="C7" s="6" t="s">
        <v>109</v>
      </c>
      <c r="D7" s="6" t="n">
        <f aca="false">COUNTIF('PM Gates 1-7'!$A$5:$A$101,B7)</f>
        <v>16</v>
      </c>
      <c r="E7" s="6" t="n">
        <f aca="false">COUNTIFS('PM Gates 1-7'!$A$5:$A$101,B7,'PM Gates 1-7'!$G$5:$G$101,"Complete")</f>
        <v>0</v>
      </c>
      <c r="F7" s="6" t="n">
        <f aca="false">COUNTIFS('PM Gates 1-7'!$A$5:$A$101,B7,'PM Gates 1-7'!$G$5:$G$101,"In progress")+COUNTIFS('PM Gates 1-7'!$A$5:$A$101,B7,'PM Gates 1-7'!$G$5:$G$101,"Submitted for review")</f>
        <v>0</v>
      </c>
      <c r="G7" s="6" t="n">
        <f aca="false">COUNTIFS('PM Gates 1-7'!$A$5:$A$101,B7,'PM Gates 1-7'!$G$5:$G$101,"Not applicable")+COUNTIFS('PM Gates 1-7'!$A$5:$A$101,B7,'PM Gates 1-7'!$G$5:$G$101,"Exception approved")</f>
        <v>0</v>
      </c>
      <c r="H7" s="6" t="n">
        <f aca="false">D7-E7-G7</f>
        <v>16</v>
      </c>
      <c r="I7" s="9" t="n">
        <f aca="false">IFERROR(E7/(D7-G7),0)</f>
        <v>0</v>
      </c>
      <c r="J7" s="6" t="str">
        <f aca="false">IF(D7-G7=0,"All items tailored out",IF(H7=0,"Evidence complete",H7&amp;" item(s) outstanding"))</f>
        <v>16 item(s) outstanding</v>
      </c>
      <c r="K7" s="7" t="s">
        <v>105</v>
      </c>
      <c r="L7" s="7"/>
    </row>
    <row r="8" customFormat="false" ht="15" hidden="false" customHeight="false" outlineLevel="0" collapsed="false">
      <c r="A8" s="6" t="s">
        <v>102</v>
      </c>
      <c r="B8" s="6" t="s">
        <v>110</v>
      </c>
      <c r="C8" s="6" t="s">
        <v>111</v>
      </c>
      <c r="D8" s="6" t="n">
        <f aca="false">COUNTIF('PM Gates 1-7'!$A$5:$A$101,B8)</f>
        <v>12</v>
      </c>
      <c r="E8" s="6" t="n">
        <f aca="false">COUNTIFS('PM Gates 1-7'!$A$5:$A$101,B8,'PM Gates 1-7'!$G$5:$G$101,"Complete")</f>
        <v>0</v>
      </c>
      <c r="F8" s="6" t="n">
        <f aca="false">COUNTIFS('PM Gates 1-7'!$A$5:$A$101,B8,'PM Gates 1-7'!$G$5:$G$101,"In progress")+COUNTIFS('PM Gates 1-7'!$A$5:$A$101,B8,'PM Gates 1-7'!$G$5:$G$101,"Submitted for review")</f>
        <v>0</v>
      </c>
      <c r="G8" s="6" t="n">
        <f aca="false">COUNTIFS('PM Gates 1-7'!$A$5:$A$101,B8,'PM Gates 1-7'!$G$5:$G$101,"Not applicable")+COUNTIFS('PM Gates 1-7'!$A$5:$A$101,B8,'PM Gates 1-7'!$G$5:$G$101,"Exception approved")</f>
        <v>0</v>
      </c>
      <c r="H8" s="6" t="n">
        <f aca="false">D8-E8-G8</f>
        <v>12</v>
      </c>
      <c r="I8" s="9" t="n">
        <f aca="false">IFERROR(E8/(D8-G8),0)</f>
        <v>0</v>
      </c>
      <c r="J8" s="6" t="str">
        <f aca="false">IF(D8-G8=0,"All items tailored out",IF(H8=0,"Evidence complete",H8&amp;" item(s) outstanding"))</f>
        <v>12 item(s) outstanding</v>
      </c>
      <c r="K8" s="7" t="s">
        <v>105</v>
      </c>
      <c r="L8" s="7"/>
    </row>
    <row r="9" customFormat="false" ht="15" hidden="false" customHeight="false" outlineLevel="0" collapsed="false">
      <c r="A9" s="6" t="s">
        <v>102</v>
      </c>
      <c r="B9" s="6" t="s">
        <v>112</v>
      </c>
      <c r="C9" s="6" t="s">
        <v>113</v>
      </c>
      <c r="D9" s="6" t="n">
        <f aca="false">COUNTIF('PM Gates 1-7'!$A$5:$A$101,B9)</f>
        <v>10</v>
      </c>
      <c r="E9" s="6" t="n">
        <f aca="false">COUNTIFS('PM Gates 1-7'!$A$5:$A$101,B9,'PM Gates 1-7'!$G$5:$G$101,"Complete")</f>
        <v>0</v>
      </c>
      <c r="F9" s="6" t="n">
        <f aca="false">COUNTIFS('PM Gates 1-7'!$A$5:$A$101,B9,'PM Gates 1-7'!$G$5:$G$101,"In progress")+COUNTIFS('PM Gates 1-7'!$A$5:$A$101,B9,'PM Gates 1-7'!$G$5:$G$101,"Submitted for review")</f>
        <v>0</v>
      </c>
      <c r="G9" s="6" t="n">
        <f aca="false">COUNTIFS('PM Gates 1-7'!$A$5:$A$101,B9,'PM Gates 1-7'!$G$5:$G$101,"Not applicable")+COUNTIFS('PM Gates 1-7'!$A$5:$A$101,B9,'PM Gates 1-7'!$G$5:$G$101,"Exception approved")</f>
        <v>0</v>
      </c>
      <c r="H9" s="6" t="n">
        <f aca="false">D9-E9-G9</f>
        <v>10</v>
      </c>
      <c r="I9" s="9" t="n">
        <f aca="false">IFERROR(E9/(D9-G9),0)</f>
        <v>0</v>
      </c>
      <c r="J9" s="6" t="str">
        <f aca="false">IF(D9-G9=0,"All items tailored out",IF(H9=0,"Evidence complete",H9&amp;" item(s) outstanding"))</f>
        <v>10 item(s) outstanding</v>
      </c>
      <c r="K9" s="7" t="s">
        <v>105</v>
      </c>
      <c r="L9" s="7"/>
    </row>
    <row r="10" customFormat="false" ht="15" hidden="false" customHeight="false" outlineLevel="0" collapsed="false">
      <c r="A10" s="6" t="s">
        <v>102</v>
      </c>
      <c r="B10" s="6" t="s">
        <v>114</v>
      </c>
      <c r="C10" s="6" t="s">
        <v>115</v>
      </c>
      <c r="D10" s="6" t="n">
        <f aca="false">COUNTIF('PM Gates 1-7'!$A$5:$A$101,B10)</f>
        <v>12</v>
      </c>
      <c r="E10" s="6" t="n">
        <f aca="false">COUNTIFS('PM Gates 1-7'!$A$5:$A$101,B10,'PM Gates 1-7'!$G$5:$G$101,"Complete")</f>
        <v>0</v>
      </c>
      <c r="F10" s="6" t="n">
        <f aca="false">COUNTIFS('PM Gates 1-7'!$A$5:$A$101,B10,'PM Gates 1-7'!$G$5:$G$101,"In progress")+COUNTIFS('PM Gates 1-7'!$A$5:$A$101,B10,'PM Gates 1-7'!$G$5:$G$101,"Submitted for review")</f>
        <v>0</v>
      </c>
      <c r="G10" s="6" t="n">
        <f aca="false">COUNTIFS('PM Gates 1-7'!$A$5:$A$101,B10,'PM Gates 1-7'!$G$5:$G$101,"Not applicable")+COUNTIFS('PM Gates 1-7'!$A$5:$A$101,B10,'PM Gates 1-7'!$G$5:$G$101,"Exception approved")</f>
        <v>0</v>
      </c>
      <c r="H10" s="6" t="n">
        <f aca="false">D10-E10-G10</f>
        <v>12</v>
      </c>
      <c r="I10" s="9" t="n">
        <f aca="false">IFERROR(E10/(D10-G10),0)</f>
        <v>0</v>
      </c>
      <c r="J10" s="6" t="str">
        <f aca="false">IF(D10-G10=0,"All items tailored out",IF(H10=0,"Evidence complete",H10&amp;" item(s) outstanding"))</f>
        <v>12 item(s) outstanding</v>
      </c>
      <c r="K10" s="7" t="s">
        <v>105</v>
      </c>
      <c r="L10" s="7"/>
    </row>
    <row r="11" customFormat="false" ht="15" hidden="false" customHeight="false" outlineLevel="0" collapsed="false">
      <c r="A11" s="6" t="s">
        <v>102</v>
      </c>
      <c r="B11" s="6" t="s">
        <v>116</v>
      </c>
      <c r="C11" s="6" t="s">
        <v>117</v>
      </c>
      <c r="D11" s="6" t="n">
        <f aca="false">COUNTIF('PM Gates 1-7'!$A$5:$A$101,B11)</f>
        <v>10</v>
      </c>
      <c r="E11" s="6" t="n">
        <f aca="false">COUNTIFS('PM Gates 1-7'!$A$5:$A$101,B11,'PM Gates 1-7'!$G$5:$G$101,"Complete")</f>
        <v>0</v>
      </c>
      <c r="F11" s="6" t="n">
        <f aca="false">COUNTIFS('PM Gates 1-7'!$A$5:$A$101,B11,'PM Gates 1-7'!$G$5:$G$101,"In progress")+COUNTIFS('PM Gates 1-7'!$A$5:$A$101,B11,'PM Gates 1-7'!$G$5:$G$101,"Submitted for review")</f>
        <v>0</v>
      </c>
      <c r="G11" s="6" t="n">
        <f aca="false">COUNTIFS('PM Gates 1-7'!$A$5:$A$101,B11,'PM Gates 1-7'!$G$5:$G$101,"Not applicable")+COUNTIFS('PM Gates 1-7'!$A$5:$A$101,B11,'PM Gates 1-7'!$G$5:$G$101,"Exception approved")</f>
        <v>0</v>
      </c>
      <c r="H11" s="6" t="n">
        <f aca="false">D11-E11-G11</f>
        <v>10</v>
      </c>
      <c r="I11" s="9" t="n">
        <f aca="false">IFERROR(E11/(D11-G11),0)</f>
        <v>0</v>
      </c>
      <c r="J11" s="6" t="str">
        <f aca="false">IF(D11-G11=0,"All items tailored out",IF(H11=0,"Evidence complete",H11&amp;" item(s) outstanding"))</f>
        <v>10 item(s) outstanding</v>
      </c>
      <c r="K11" s="7" t="s">
        <v>105</v>
      </c>
      <c r="L11" s="7"/>
    </row>
    <row r="12" customFormat="false" ht="23.85" hidden="false" customHeight="false" outlineLevel="0" collapsed="false">
      <c r="A12" s="10" t="s">
        <v>102</v>
      </c>
      <c r="B12" s="10" t="s">
        <v>118</v>
      </c>
      <c r="C12" s="10" t="s">
        <v>119</v>
      </c>
      <c r="D12" s="10" t="n">
        <f aca="false">SUM(D5:D11)</f>
        <v>83</v>
      </c>
      <c r="E12" s="10" t="n">
        <f aca="false">SUM(E5:E11)</f>
        <v>0</v>
      </c>
      <c r="F12" s="10" t="n">
        <f aca="false">SUM(F5:F11)</f>
        <v>0</v>
      </c>
      <c r="G12" s="10" t="n">
        <f aca="false">SUM(G5:G11)</f>
        <v>0</v>
      </c>
      <c r="H12" s="10" t="n">
        <f aca="false">SUM(H5:H11)</f>
        <v>83</v>
      </c>
      <c r="I12" s="11" t="n">
        <f aca="false">IFERROR(E12/(D12-G12),0)</f>
        <v>0</v>
      </c>
      <c r="J12" s="10" t="str">
        <f aca="false">IF(H12=0,"All required evidence recorded",H12&amp;" item(s) outstanding across the track")</f>
        <v>83 item(s) outstanding across the track</v>
      </c>
      <c r="K12" s="10"/>
      <c r="L12" s="10"/>
    </row>
    <row r="14" customFormat="false" ht="15" hidden="false" customHeight="false" outlineLevel="0" collapsed="false">
      <c r="A14" s="6" t="s">
        <v>120</v>
      </c>
      <c r="B14" s="6" t="s">
        <v>121</v>
      </c>
      <c r="C14" s="6" t="s">
        <v>122</v>
      </c>
      <c r="D14" s="6" t="n">
        <f aca="false">COUNTIF('SDLC G0-G6'!$A$5:$A$109,B14)</f>
        <v>8</v>
      </c>
      <c r="E14" s="6" t="n">
        <f aca="false">COUNTIFS('SDLC G0-G6'!$A$5:$A$109,B14,'SDLC G0-G6'!$G$5:$G$109,"Complete")</f>
        <v>0</v>
      </c>
      <c r="F14" s="6" t="n">
        <f aca="false">COUNTIFS('SDLC G0-G6'!$A$5:$A$109,B14,'SDLC G0-G6'!$G$5:$G$109,"In progress")+COUNTIFS('SDLC G0-G6'!$A$5:$A$109,B14,'SDLC G0-G6'!$G$5:$G$109,"Submitted for review")</f>
        <v>0</v>
      </c>
      <c r="G14" s="6" t="n">
        <f aca="false">COUNTIFS('SDLC G0-G6'!$A$5:$A$109,B14,'SDLC G0-G6'!$G$5:$G$109,"Not applicable")+COUNTIFS('SDLC G0-G6'!$A$5:$A$109,B14,'SDLC G0-G6'!$G$5:$G$109,"Exception approved")</f>
        <v>0</v>
      </c>
      <c r="H14" s="6" t="n">
        <f aca="false">D14-E14-G14</f>
        <v>8</v>
      </c>
      <c r="I14" s="9" t="n">
        <f aca="false">IFERROR(E14/(D14-G14),0)</f>
        <v>0</v>
      </c>
      <c r="J14" s="6" t="str">
        <f aca="false">IF(D14-G14=0,"All items tailored out",IF(H14=0,"Evidence complete",H14&amp;" item(s) outstanding"))</f>
        <v>8 item(s) outstanding</v>
      </c>
      <c r="K14" s="7" t="s">
        <v>105</v>
      </c>
      <c r="L14" s="7"/>
    </row>
    <row r="15" customFormat="false" ht="15" hidden="false" customHeight="false" outlineLevel="0" collapsed="false">
      <c r="A15" s="6" t="s">
        <v>120</v>
      </c>
      <c r="B15" s="6" t="s">
        <v>123</v>
      </c>
      <c r="C15" s="6" t="s">
        <v>124</v>
      </c>
      <c r="D15" s="6" t="n">
        <f aca="false">COUNTIF('SDLC G0-G6'!$A$5:$A$109,B15)</f>
        <v>12</v>
      </c>
      <c r="E15" s="6" t="n">
        <f aca="false">COUNTIFS('SDLC G0-G6'!$A$5:$A$109,B15,'SDLC G0-G6'!$G$5:$G$109,"Complete")</f>
        <v>0</v>
      </c>
      <c r="F15" s="6" t="n">
        <f aca="false">COUNTIFS('SDLC G0-G6'!$A$5:$A$109,B15,'SDLC G0-G6'!$G$5:$G$109,"In progress")+COUNTIFS('SDLC G0-G6'!$A$5:$A$109,B15,'SDLC G0-G6'!$G$5:$G$109,"Submitted for review")</f>
        <v>0</v>
      </c>
      <c r="G15" s="6" t="n">
        <f aca="false">COUNTIFS('SDLC G0-G6'!$A$5:$A$109,B15,'SDLC G0-G6'!$G$5:$G$109,"Not applicable")+COUNTIFS('SDLC G0-G6'!$A$5:$A$109,B15,'SDLC G0-G6'!$G$5:$G$109,"Exception approved")</f>
        <v>0</v>
      </c>
      <c r="H15" s="6" t="n">
        <f aca="false">D15-E15-G15</f>
        <v>12</v>
      </c>
      <c r="I15" s="9" t="n">
        <f aca="false">IFERROR(E15/(D15-G15),0)</f>
        <v>0</v>
      </c>
      <c r="J15" s="6" t="str">
        <f aca="false">IF(D15-G15=0,"All items tailored out",IF(H15=0,"Evidence complete",H15&amp;" item(s) outstanding"))</f>
        <v>12 item(s) outstanding</v>
      </c>
      <c r="K15" s="7" t="s">
        <v>105</v>
      </c>
      <c r="L15" s="7"/>
    </row>
    <row r="16" customFormat="false" ht="15" hidden="false" customHeight="false" outlineLevel="0" collapsed="false">
      <c r="A16" s="6" t="s">
        <v>120</v>
      </c>
      <c r="B16" s="6" t="s">
        <v>14</v>
      </c>
      <c r="C16" s="6" t="s">
        <v>125</v>
      </c>
      <c r="D16" s="6" t="n">
        <f aca="false">COUNTIF('SDLC G0-G6'!$A$5:$A$109,B16)</f>
        <v>11</v>
      </c>
      <c r="E16" s="6" t="n">
        <f aca="false">COUNTIFS('SDLC G0-G6'!$A$5:$A$109,B16,'SDLC G0-G6'!$G$5:$G$109,"Complete")</f>
        <v>0</v>
      </c>
      <c r="F16" s="6" t="n">
        <f aca="false">COUNTIFS('SDLC G0-G6'!$A$5:$A$109,B16,'SDLC G0-G6'!$G$5:$G$109,"In progress")+COUNTIFS('SDLC G0-G6'!$A$5:$A$109,B16,'SDLC G0-G6'!$G$5:$G$109,"Submitted for review")</f>
        <v>0</v>
      </c>
      <c r="G16" s="6" t="n">
        <f aca="false">COUNTIFS('SDLC G0-G6'!$A$5:$A$109,B16,'SDLC G0-G6'!$G$5:$G$109,"Not applicable")+COUNTIFS('SDLC G0-G6'!$A$5:$A$109,B16,'SDLC G0-G6'!$G$5:$G$109,"Exception approved")</f>
        <v>0</v>
      </c>
      <c r="H16" s="6" t="n">
        <f aca="false">D16-E16-G16</f>
        <v>11</v>
      </c>
      <c r="I16" s="9" t="n">
        <f aca="false">IFERROR(E16/(D16-G16),0)</f>
        <v>0</v>
      </c>
      <c r="J16" s="6" t="str">
        <f aca="false">IF(D16-G16=0,"All items tailored out",IF(H16=0,"Evidence complete",H16&amp;" item(s) outstanding"))</f>
        <v>11 item(s) outstanding</v>
      </c>
      <c r="K16" s="7" t="s">
        <v>105</v>
      </c>
      <c r="L16" s="7"/>
    </row>
    <row r="17" customFormat="false" ht="15" hidden="false" customHeight="false" outlineLevel="0" collapsed="false">
      <c r="A17" s="6" t="s">
        <v>120</v>
      </c>
      <c r="B17" s="6" t="s">
        <v>126</v>
      </c>
      <c r="C17" s="6" t="s">
        <v>127</v>
      </c>
      <c r="D17" s="6" t="n">
        <f aca="false">COUNTIF('SDLC G0-G6'!$A$5:$A$109,B17)</f>
        <v>13</v>
      </c>
      <c r="E17" s="6" t="n">
        <f aca="false">COUNTIFS('SDLC G0-G6'!$A$5:$A$109,B17,'SDLC G0-G6'!$G$5:$G$109,"Complete")</f>
        <v>0</v>
      </c>
      <c r="F17" s="6" t="n">
        <f aca="false">COUNTIFS('SDLC G0-G6'!$A$5:$A$109,B17,'SDLC G0-G6'!$G$5:$G$109,"In progress")+COUNTIFS('SDLC G0-G6'!$A$5:$A$109,B17,'SDLC G0-G6'!$G$5:$G$109,"Submitted for review")</f>
        <v>0</v>
      </c>
      <c r="G17" s="6" t="n">
        <f aca="false">COUNTIFS('SDLC G0-G6'!$A$5:$A$109,B17,'SDLC G0-G6'!$G$5:$G$109,"Not applicable")+COUNTIFS('SDLC G0-G6'!$A$5:$A$109,B17,'SDLC G0-G6'!$G$5:$G$109,"Exception approved")</f>
        <v>0</v>
      </c>
      <c r="H17" s="6" t="n">
        <f aca="false">D17-E17-G17</f>
        <v>13</v>
      </c>
      <c r="I17" s="9" t="n">
        <f aca="false">IFERROR(E17/(D17-G17),0)</f>
        <v>0</v>
      </c>
      <c r="J17" s="6" t="str">
        <f aca="false">IF(D17-G17=0,"All items tailored out",IF(H17=0,"Evidence complete",H17&amp;" item(s) outstanding"))</f>
        <v>13 item(s) outstanding</v>
      </c>
      <c r="K17" s="7" t="s">
        <v>105</v>
      </c>
      <c r="L17" s="7"/>
    </row>
    <row r="18" customFormat="false" ht="23.85" hidden="false" customHeight="false" outlineLevel="0" collapsed="false">
      <c r="A18" s="6" t="s">
        <v>120</v>
      </c>
      <c r="B18" s="6" t="s">
        <v>128</v>
      </c>
      <c r="C18" s="6" t="s">
        <v>129</v>
      </c>
      <c r="D18" s="6" t="n">
        <f aca="false">COUNTIF('SDLC G0-G6'!$A$5:$A$109,B18)</f>
        <v>11</v>
      </c>
      <c r="E18" s="6" t="n">
        <f aca="false">COUNTIFS('SDLC G0-G6'!$A$5:$A$109,B18,'SDLC G0-G6'!$G$5:$G$109,"Complete")</f>
        <v>0</v>
      </c>
      <c r="F18" s="6" t="n">
        <f aca="false">COUNTIFS('SDLC G0-G6'!$A$5:$A$109,B18,'SDLC G0-G6'!$G$5:$G$109,"In progress")+COUNTIFS('SDLC G0-G6'!$A$5:$A$109,B18,'SDLC G0-G6'!$G$5:$G$109,"Submitted for review")</f>
        <v>0</v>
      </c>
      <c r="G18" s="6" t="n">
        <f aca="false">COUNTIFS('SDLC G0-G6'!$A$5:$A$109,B18,'SDLC G0-G6'!$G$5:$G$109,"Not applicable")+COUNTIFS('SDLC G0-G6'!$A$5:$A$109,B18,'SDLC G0-G6'!$G$5:$G$109,"Exception approved")</f>
        <v>0</v>
      </c>
      <c r="H18" s="6" t="n">
        <f aca="false">D18-E18-G18</f>
        <v>11</v>
      </c>
      <c r="I18" s="9" t="n">
        <f aca="false">IFERROR(E18/(D18-G18),0)</f>
        <v>0</v>
      </c>
      <c r="J18" s="6" t="str">
        <f aca="false">IF(D18-G18=0,"All items tailored out",IF(H18=0,"Evidence complete",H18&amp;" item(s) outstanding"))</f>
        <v>11 item(s) outstanding</v>
      </c>
      <c r="K18" s="7" t="s">
        <v>105</v>
      </c>
      <c r="L18" s="7"/>
    </row>
    <row r="19" customFormat="false" ht="15" hidden="false" customHeight="false" outlineLevel="0" collapsed="false">
      <c r="A19" s="6" t="s">
        <v>120</v>
      </c>
      <c r="B19" s="6" t="s">
        <v>130</v>
      </c>
      <c r="C19" s="6" t="s">
        <v>131</v>
      </c>
      <c r="D19" s="6" t="n">
        <f aca="false">COUNTIF('SDLC G0-G6'!$A$5:$A$109,B19)</f>
        <v>11</v>
      </c>
      <c r="E19" s="6" t="n">
        <f aca="false">COUNTIFS('SDLC G0-G6'!$A$5:$A$109,B19,'SDLC G0-G6'!$G$5:$G$109,"Complete")</f>
        <v>0</v>
      </c>
      <c r="F19" s="6" t="n">
        <f aca="false">COUNTIFS('SDLC G0-G6'!$A$5:$A$109,B19,'SDLC G0-G6'!$G$5:$G$109,"In progress")+COUNTIFS('SDLC G0-G6'!$A$5:$A$109,B19,'SDLC G0-G6'!$G$5:$G$109,"Submitted for review")</f>
        <v>0</v>
      </c>
      <c r="G19" s="6" t="n">
        <f aca="false">COUNTIFS('SDLC G0-G6'!$A$5:$A$109,B19,'SDLC G0-G6'!$G$5:$G$109,"Not applicable")+COUNTIFS('SDLC G0-G6'!$A$5:$A$109,B19,'SDLC G0-G6'!$G$5:$G$109,"Exception approved")</f>
        <v>0</v>
      </c>
      <c r="H19" s="6" t="n">
        <f aca="false">D19-E19-G19</f>
        <v>11</v>
      </c>
      <c r="I19" s="9" t="n">
        <f aca="false">IFERROR(E19/(D19-G19),0)</f>
        <v>0</v>
      </c>
      <c r="J19" s="6" t="str">
        <f aca="false">IF(D19-G19=0,"All items tailored out",IF(H19=0,"Evidence complete",H19&amp;" item(s) outstanding"))</f>
        <v>11 item(s) outstanding</v>
      </c>
      <c r="K19" s="7" t="s">
        <v>105</v>
      </c>
      <c r="L19" s="7"/>
    </row>
    <row r="20" customFormat="false" ht="15" hidden="false" customHeight="false" outlineLevel="0" collapsed="false">
      <c r="A20" s="6" t="s">
        <v>120</v>
      </c>
      <c r="B20" s="6" t="s">
        <v>132</v>
      </c>
      <c r="C20" s="6" t="s">
        <v>133</v>
      </c>
      <c r="D20" s="6" t="n">
        <f aca="false">COUNTIF('SDLC G0-G6'!$A$5:$A$109,B20)</f>
        <v>13</v>
      </c>
      <c r="E20" s="6" t="n">
        <f aca="false">COUNTIFS('SDLC G0-G6'!$A$5:$A$109,B20,'SDLC G0-G6'!$G$5:$G$109,"Complete")</f>
        <v>0</v>
      </c>
      <c r="F20" s="6" t="n">
        <f aca="false">COUNTIFS('SDLC G0-G6'!$A$5:$A$109,B20,'SDLC G0-G6'!$G$5:$G$109,"In progress")+COUNTIFS('SDLC G0-G6'!$A$5:$A$109,B20,'SDLC G0-G6'!$G$5:$G$109,"Submitted for review")</f>
        <v>0</v>
      </c>
      <c r="G20" s="6" t="n">
        <f aca="false">COUNTIFS('SDLC G0-G6'!$A$5:$A$109,B20,'SDLC G0-G6'!$G$5:$G$109,"Not applicable")+COUNTIFS('SDLC G0-G6'!$A$5:$A$109,B20,'SDLC G0-G6'!$G$5:$G$109,"Exception approved")</f>
        <v>0</v>
      </c>
      <c r="H20" s="6" t="n">
        <f aca="false">D20-E20-G20</f>
        <v>13</v>
      </c>
      <c r="I20" s="9" t="n">
        <f aca="false">IFERROR(E20/(D20-G20),0)</f>
        <v>0</v>
      </c>
      <c r="J20" s="6" t="str">
        <f aca="false">IF(D20-G20=0,"All items tailored out",IF(H20=0,"Evidence complete",H20&amp;" item(s) outstanding"))</f>
        <v>13 item(s) outstanding</v>
      </c>
      <c r="K20" s="7" t="s">
        <v>105</v>
      </c>
      <c r="L20" s="7"/>
    </row>
    <row r="21" customFormat="false" ht="15" hidden="false" customHeight="false" outlineLevel="0" collapsed="false">
      <c r="A21" s="6" t="s">
        <v>120</v>
      </c>
      <c r="B21" s="6" t="s">
        <v>134</v>
      </c>
      <c r="C21" s="6" t="s">
        <v>135</v>
      </c>
      <c r="D21" s="6" t="n">
        <f aca="false">COUNTIF('SDLC G0-G6'!$A$5:$A$109,B21)</f>
        <v>10</v>
      </c>
      <c r="E21" s="6" t="n">
        <f aca="false">COUNTIFS('SDLC G0-G6'!$A$5:$A$109,B21,'SDLC G0-G6'!$G$5:$G$109,"Complete")</f>
        <v>0</v>
      </c>
      <c r="F21" s="6" t="n">
        <f aca="false">COUNTIFS('SDLC G0-G6'!$A$5:$A$109,B21,'SDLC G0-G6'!$G$5:$G$109,"In progress")+COUNTIFS('SDLC G0-G6'!$A$5:$A$109,B21,'SDLC G0-G6'!$G$5:$G$109,"Submitted for review")</f>
        <v>0</v>
      </c>
      <c r="G21" s="6" t="n">
        <f aca="false">COUNTIFS('SDLC G0-G6'!$A$5:$A$109,B21,'SDLC G0-G6'!$G$5:$G$109,"Not applicable")+COUNTIFS('SDLC G0-G6'!$A$5:$A$109,B21,'SDLC G0-G6'!$G$5:$G$109,"Exception approved")</f>
        <v>0</v>
      </c>
      <c r="H21" s="6" t="n">
        <f aca="false">D21-E21-G21</f>
        <v>10</v>
      </c>
      <c r="I21" s="9" t="n">
        <f aca="false">IFERROR(E21/(D21-G21),0)</f>
        <v>0</v>
      </c>
      <c r="J21" s="6" t="str">
        <f aca="false">IF(D21-G21=0,"All items tailored out",IF(H21=0,"Evidence complete",H21&amp;" item(s) outstanding"))</f>
        <v>10 item(s) outstanding</v>
      </c>
      <c r="K21" s="7" t="s">
        <v>105</v>
      </c>
      <c r="L21" s="7"/>
    </row>
    <row r="22" customFormat="false" ht="23.85" hidden="false" customHeight="false" outlineLevel="0" collapsed="false">
      <c r="A22" s="10" t="s">
        <v>120</v>
      </c>
      <c r="B22" s="10" t="s">
        <v>118</v>
      </c>
      <c r="C22" s="10" t="s">
        <v>119</v>
      </c>
      <c r="D22" s="10" t="n">
        <f aca="false">SUM(D14:D21)</f>
        <v>89</v>
      </c>
      <c r="E22" s="10" t="n">
        <f aca="false">SUM(E14:E21)</f>
        <v>0</v>
      </c>
      <c r="F22" s="10" t="n">
        <f aca="false">SUM(F14:F21)</f>
        <v>0</v>
      </c>
      <c r="G22" s="10" t="n">
        <f aca="false">SUM(G14:G21)</f>
        <v>0</v>
      </c>
      <c r="H22" s="10" t="n">
        <f aca="false">SUM(H14:H21)</f>
        <v>89</v>
      </c>
      <c r="I22" s="11" t="n">
        <f aca="false">IFERROR(E22/(D22-G22),0)</f>
        <v>0</v>
      </c>
      <c r="J22" s="10" t="str">
        <f aca="false">IF(H22=0,"All required evidence recorded",H22&amp;" item(s) outstanding across the track")</f>
        <v>89 item(s) outstanding across the track</v>
      </c>
      <c r="K22" s="10"/>
      <c r="L22" s="10"/>
    </row>
    <row r="24" customFormat="false" ht="39.75" hidden="false" customHeight="true" outlineLevel="0" collapsed="false">
      <c r="A24" s="12" t="s">
        <v>136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</sheetData>
  <mergeCells count="3">
    <mergeCell ref="A1:L1"/>
    <mergeCell ref="A2:L2"/>
    <mergeCell ref="A24:L24"/>
  </mergeCells>
  <dataValidations count="1">
    <dataValidation allowBlank="true" errorStyle="stop" operator="between" showDropDown="false" showErrorMessage="false" showInputMessage="false" sqref="K5:K24" type="list">
      <formula1>"Not yet held,Approve,Approve with conditions,Hold,Redirect,Terminate"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33"/>
    <pageSetUpPr fitToPage="false"/>
  </sheetPr>
  <dimension ref="A1:L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8"/>
    <col collapsed="false" customWidth="true" hidden="false" outlineLevel="0" max="5" min="5" style="0" width="62"/>
    <col collapsed="false" customWidth="true" hidden="false" outlineLevel="0" max="6" min="6" style="0" width="34"/>
    <col collapsed="false" customWidth="true" hidden="false" outlineLevel="0" max="7" min="7" style="0" width="20"/>
    <col collapsed="false" customWidth="true" hidden="false" outlineLevel="0" max="8" min="8" style="0" width="24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2" min="11" style="0" width="34"/>
  </cols>
  <sheetData>
    <row r="1" customFormat="false" ht="17.35" hidden="false" customHeight="false" outlineLevel="0" collapsed="false">
      <c r="A1" s="1" t="s">
        <v>137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5.5" hidden="false" customHeight="true" outlineLevel="0" collapsed="false">
      <c r="A2" s="2" t="s">
        <v>138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5" t="s">
        <v>13</v>
      </c>
      <c r="B4" s="5" t="s">
        <v>139</v>
      </c>
      <c r="C4" s="5" t="s">
        <v>140</v>
      </c>
      <c r="D4" s="5" t="s">
        <v>141</v>
      </c>
      <c r="E4" s="5" t="s">
        <v>16</v>
      </c>
      <c r="F4" s="5" t="s">
        <v>142</v>
      </c>
      <c r="G4" s="5" t="s">
        <v>18</v>
      </c>
      <c r="H4" s="5" t="s">
        <v>21</v>
      </c>
      <c r="I4" s="5" t="s">
        <v>24</v>
      </c>
      <c r="J4" s="5" t="s">
        <v>27</v>
      </c>
      <c r="K4" s="5" t="s">
        <v>30</v>
      </c>
      <c r="L4" s="5" t="s">
        <v>33</v>
      </c>
    </row>
    <row r="5" customFormat="false" ht="15" hidden="false" customHeight="false" outlineLevel="0" collapsed="false">
      <c r="A5" s="13" t="s">
        <v>143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customFormat="false" ht="42" hidden="false" customHeight="true" outlineLevel="0" collapsed="false">
      <c r="A6" s="14" t="s">
        <v>144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customFormat="false" ht="35.05" hidden="false" customHeight="false" outlineLevel="0" collapsed="false">
      <c r="A7" s="6" t="s">
        <v>103</v>
      </c>
      <c r="B7" s="6" t="s">
        <v>104</v>
      </c>
      <c r="C7" s="6" t="s">
        <v>145</v>
      </c>
      <c r="D7" s="6" t="s">
        <v>146</v>
      </c>
      <c r="E7" s="6" t="s">
        <v>147</v>
      </c>
      <c r="F7" s="6" t="s">
        <v>148</v>
      </c>
      <c r="G7" s="7" t="s">
        <v>149</v>
      </c>
      <c r="H7" s="7"/>
      <c r="I7" s="7"/>
      <c r="J7" s="7"/>
      <c r="K7" s="7"/>
      <c r="L7" s="7"/>
    </row>
    <row r="8" customFormat="false" ht="35.05" hidden="false" customHeight="false" outlineLevel="0" collapsed="false">
      <c r="A8" s="6" t="s">
        <v>103</v>
      </c>
      <c r="B8" s="6" t="s">
        <v>104</v>
      </c>
      <c r="C8" s="6" t="s">
        <v>145</v>
      </c>
      <c r="D8" s="6" t="s">
        <v>150</v>
      </c>
      <c r="E8" s="6" t="s">
        <v>151</v>
      </c>
      <c r="F8" s="6" t="s">
        <v>148</v>
      </c>
      <c r="G8" s="7" t="s">
        <v>149</v>
      </c>
      <c r="H8" s="7"/>
      <c r="I8" s="7"/>
      <c r="J8" s="7"/>
      <c r="K8" s="7"/>
      <c r="L8" s="7"/>
    </row>
    <row r="9" customFormat="false" ht="35.05" hidden="false" customHeight="false" outlineLevel="0" collapsed="false">
      <c r="A9" s="6" t="s">
        <v>103</v>
      </c>
      <c r="B9" s="6" t="s">
        <v>104</v>
      </c>
      <c r="C9" s="6" t="s">
        <v>145</v>
      </c>
      <c r="D9" s="6" t="s">
        <v>152</v>
      </c>
      <c r="E9" s="6" t="s">
        <v>153</v>
      </c>
      <c r="F9" s="6" t="s">
        <v>148</v>
      </c>
      <c r="G9" s="7" t="s">
        <v>149</v>
      </c>
      <c r="H9" s="7"/>
      <c r="I9" s="7"/>
      <c r="J9" s="7"/>
      <c r="K9" s="7"/>
      <c r="L9" s="7"/>
    </row>
    <row r="10" customFormat="false" ht="35.05" hidden="false" customHeight="false" outlineLevel="0" collapsed="false">
      <c r="A10" s="6" t="s">
        <v>103</v>
      </c>
      <c r="B10" s="6" t="s">
        <v>104</v>
      </c>
      <c r="C10" s="6" t="s">
        <v>145</v>
      </c>
      <c r="D10" s="6" t="s">
        <v>154</v>
      </c>
      <c r="E10" s="6" t="s">
        <v>155</v>
      </c>
      <c r="F10" s="6" t="s">
        <v>148</v>
      </c>
      <c r="G10" s="7" t="s">
        <v>149</v>
      </c>
      <c r="H10" s="7"/>
      <c r="I10" s="7"/>
      <c r="J10" s="7"/>
      <c r="K10" s="7"/>
      <c r="L10" s="7"/>
    </row>
    <row r="11" customFormat="false" ht="35.05" hidden="false" customHeight="false" outlineLevel="0" collapsed="false">
      <c r="A11" s="6" t="s">
        <v>103</v>
      </c>
      <c r="B11" s="6" t="s">
        <v>104</v>
      </c>
      <c r="C11" s="6" t="s">
        <v>145</v>
      </c>
      <c r="D11" s="6" t="s">
        <v>156</v>
      </c>
      <c r="E11" s="6" t="s">
        <v>157</v>
      </c>
      <c r="F11" s="6" t="s">
        <v>148</v>
      </c>
      <c r="G11" s="7" t="s">
        <v>149</v>
      </c>
      <c r="H11" s="7"/>
      <c r="I11" s="7"/>
      <c r="J11" s="7"/>
      <c r="K11" s="7"/>
      <c r="L11" s="7"/>
    </row>
    <row r="12" customFormat="false" ht="35.05" hidden="false" customHeight="false" outlineLevel="0" collapsed="false">
      <c r="A12" s="6" t="s">
        <v>103</v>
      </c>
      <c r="B12" s="6" t="s">
        <v>104</v>
      </c>
      <c r="C12" s="6" t="s">
        <v>145</v>
      </c>
      <c r="D12" s="6" t="s">
        <v>158</v>
      </c>
      <c r="E12" s="6" t="s">
        <v>159</v>
      </c>
      <c r="F12" s="6" t="s">
        <v>148</v>
      </c>
      <c r="G12" s="7" t="s">
        <v>149</v>
      </c>
      <c r="H12" s="7"/>
      <c r="I12" s="7"/>
      <c r="J12" s="7"/>
      <c r="K12" s="7"/>
      <c r="L12" s="7"/>
    </row>
    <row r="13" customFormat="false" ht="35.05" hidden="false" customHeight="false" outlineLevel="0" collapsed="false">
      <c r="A13" s="6" t="s">
        <v>103</v>
      </c>
      <c r="B13" s="6" t="s">
        <v>104</v>
      </c>
      <c r="C13" s="6" t="s">
        <v>145</v>
      </c>
      <c r="D13" s="6" t="s">
        <v>160</v>
      </c>
      <c r="E13" s="6" t="s">
        <v>161</v>
      </c>
      <c r="F13" s="6" t="s">
        <v>148</v>
      </c>
      <c r="G13" s="7" t="s">
        <v>149</v>
      </c>
      <c r="H13" s="7"/>
      <c r="I13" s="7"/>
      <c r="J13" s="7"/>
      <c r="K13" s="7"/>
      <c r="L13" s="7"/>
    </row>
    <row r="14" customFormat="false" ht="35.05" hidden="false" customHeight="false" outlineLevel="0" collapsed="false">
      <c r="A14" s="6" t="s">
        <v>103</v>
      </c>
      <c r="B14" s="6" t="s">
        <v>104</v>
      </c>
      <c r="C14" s="6" t="s">
        <v>145</v>
      </c>
      <c r="D14" s="6" t="s">
        <v>162</v>
      </c>
      <c r="E14" s="6" t="s">
        <v>163</v>
      </c>
      <c r="F14" s="6" t="s">
        <v>148</v>
      </c>
      <c r="G14" s="7" t="s">
        <v>149</v>
      </c>
      <c r="H14" s="7"/>
      <c r="I14" s="7"/>
      <c r="J14" s="7"/>
      <c r="K14" s="7"/>
      <c r="L14" s="7"/>
    </row>
    <row r="15" customFormat="false" ht="35.05" hidden="false" customHeight="false" outlineLevel="0" collapsed="false">
      <c r="A15" s="6" t="s">
        <v>103</v>
      </c>
      <c r="B15" s="6" t="s">
        <v>104</v>
      </c>
      <c r="C15" s="6" t="s">
        <v>145</v>
      </c>
      <c r="D15" s="6" t="s">
        <v>164</v>
      </c>
      <c r="E15" s="6" t="s">
        <v>165</v>
      </c>
      <c r="F15" s="6" t="s">
        <v>148</v>
      </c>
      <c r="G15" s="7" t="s">
        <v>149</v>
      </c>
      <c r="H15" s="7"/>
      <c r="I15" s="7"/>
      <c r="J15" s="7"/>
      <c r="K15" s="7"/>
      <c r="L15" s="7"/>
    </row>
    <row r="16" customFormat="false" ht="35.05" hidden="false" customHeight="false" outlineLevel="0" collapsed="false">
      <c r="A16" s="6" t="s">
        <v>103</v>
      </c>
      <c r="B16" s="6" t="s">
        <v>104</v>
      </c>
      <c r="C16" s="6" t="s">
        <v>145</v>
      </c>
      <c r="D16" s="6" t="s">
        <v>166</v>
      </c>
      <c r="E16" s="6" t="s">
        <v>167</v>
      </c>
      <c r="F16" s="6" t="s">
        <v>148</v>
      </c>
      <c r="G16" s="7" t="s">
        <v>149</v>
      </c>
      <c r="H16" s="7"/>
      <c r="I16" s="7"/>
      <c r="J16" s="7"/>
      <c r="K16" s="7"/>
      <c r="L16" s="7"/>
    </row>
    <row r="17" customFormat="false" ht="35.05" hidden="false" customHeight="false" outlineLevel="0" collapsed="false">
      <c r="A17" s="6" t="s">
        <v>103</v>
      </c>
      <c r="B17" s="6" t="s">
        <v>104</v>
      </c>
      <c r="C17" s="6" t="s">
        <v>145</v>
      </c>
      <c r="D17" s="6" t="s">
        <v>168</v>
      </c>
      <c r="E17" s="6" t="s">
        <v>169</v>
      </c>
      <c r="F17" s="6" t="s">
        <v>148</v>
      </c>
      <c r="G17" s="7" t="s">
        <v>149</v>
      </c>
      <c r="H17" s="7"/>
      <c r="I17" s="7"/>
      <c r="J17" s="7"/>
      <c r="K17" s="7"/>
      <c r="L17" s="7"/>
    </row>
    <row r="18" customFormat="false" ht="15" hidden="false" customHeight="false" outlineLevel="0" collapsed="false">
      <c r="A18" s="13" t="s">
        <v>170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</row>
    <row r="19" customFormat="false" ht="42" hidden="false" customHeight="true" outlineLevel="0" collapsed="false">
      <c r="A19" s="14" t="s">
        <v>171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customFormat="false" ht="23.85" hidden="false" customHeight="false" outlineLevel="0" collapsed="false">
      <c r="A20" s="6" t="s">
        <v>106</v>
      </c>
      <c r="B20" s="6" t="s">
        <v>107</v>
      </c>
      <c r="C20" s="6" t="s">
        <v>172</v>
      </c>
      <c r="D20" s="6" t="s">
        <v>173</v>
      </c>
      <c r="E20" s="6" t="s">
        <v>174</v>
      </c>
      <c r="F20" s="6" t="s">
        <v>175</v>
      </c>
      <c r="G20" s="7" t="s">
        <v>149</v>
      </c>
      <c r="H20" s="7"/>
      <c r="I20" s="7"/>
      <c r="J20" s="7"/>
      <c r="K20" s="7"/>
      <c r="L20" s="7"/>
    </row>
    <row r="21" customFormat="false" ht="23.85" hidden="false" customHeight="false" outlineLevel="0" collapsed="false">
      <c r="A21" s="6" t="s">
        <v>106</v>
      </c>
      <c r="B21" s="6" t="s">
        <v>107</v>
      </c>
      <c r="C21" s="6" t="s">
        <v>172</v>
      </c>
      <c r="D21" s="6" t="s">
        <v>176</v>
      </c>
      <c r="E21" s="6" t="s">
        <v>177</v>
      </c>
      <c r="F21" s="6" t="s">
        <v>175</v>
      </c>
      <c r="G21" s="7" t="s">
        <v>149</v>
      </c>
      <c r="H21" s="7"/>
      <c r="I21" s="7"/>
      <c r="J21" s="7"/>
      <c r="K21" s="7"/>
      <c r="L21" s="7"/>
    </row>
    <row r="22" customFormat="false" ht="23.85" hidden="false" customHeight="false" outlineLevel="0" collapsed="false">
      <c r="A22" s="6" t="s">
        <v>106</v>
      </c>
      <c r="B22" s="6" t="s">
        <v>107</v>
      </c>
      <c r="C22" s="6" t="s">
        <v>172</v>
      </c>
      <c r="D22" s="6" t="s">
        <v>178</v>
      </c>
      <c r="E22" s="6" t="s">
        <v>179</v>
      </c>
      <c r="F22" s="6" t="s">
        <v>175</v>
      </c>
      <c r="G22" s="7" t="s">
        <v>149</v>
      </c>
      <c r="H22" s="7"/>
      <c r="I22" s="7"/>
      <c r="J22" s="7"/>
      <c r="K22" s="7"/>
      <c r="L22" s="7"/>
    </row>
    <row r="23" customFormat="false" ht="23.85" hidden="false" customHeight="false" outlineLevel="0" collapsed="false">
      <c r="A23" s="6" t="s">
        <v>106</v>
      </c>
      <c r="B23" s="6" t="s">
        <v>107</v>
      </c>
      <c r="C23" s="6" t="s">
        <v>172</v>
      </c>
      <c r="D23" s="6" t="s">
        <v>180</v>
      </c>
      <c r="E23" s="6" t="s">
        <v>181</v>
      </c>
      <c r="F23" s="6" t="s">
        <v>175</v>
      </c>
      <c r="G23" s="7" t="s">
        <v>149</v>
      </c>
      <c r="H23" s="7"/>
      <c r="I23" s="7"/>
      <c r="J23" s="7"/>
      <c r="K23" s="7"/>
      <c r="L23" s="7"/>
    </row>
    <row r="24" customFormat="false" ht="23.85" hidden="false" customHeight="false" outlineLevel="0" collapsed="false">
      <c r="A24" s="6" t="s">
        <v>106</v>
      </c>
      <c r="B24" s="6" t="s">
        <v>107</v>
      </c>
      <c r="C24" s="6" t="s">
        <v>172</v>
      </c>
      <c r="D24" s="6" t="s">
        <v>182</v>
      </c>
      <c r="E24" s="6" t="s">
        <v>183</v>
      </c>
      <c r="F24" s="6" t="s">
        <v>175</v>
      </c>
      <c r="G24" s="7" t="s">
        <v>149</v>
      </c>
      <c r="H24" s="7"/>
      <c r="I24" s="7"/>
      <c r="J24" s="7"/>
      <c r="K24" s="7"/>
      <c r="L24" s="7"/>
    </row>
    <row r="25" customFormat="false" ht="23.85" hidden="false" customHeight="false" outlineLevel="0" collapsed="false">
      <c r="A25" s="6" t="s">
        <v>106</v>
      </c>
      <c r="B25" s="6" t="s">
        <v>107</v>
      </c>
      <c r="C25" s="6" t="s">
        <v>172</v>
      </c>
      <c r="D25" s="6" t="s">
        <v>184</v>
      </c>
      <c r="E25" s="6" t="s">
        <v>185</v>
      </c>
      <c r="F25" s="6" t="s">
        <v>175</v>
      </c>
      <c r="G25" s="7" t="s">
        <v>149</v>
      </c>
      <c r="H25" s="7"/>
      <c r="I25" s="7"/>
      <c r="J25" s="7"/>
      <c r="K25" s="7"/>
      <c r="L25" s="7"/>
    </row>
    <row r="26" customFormat="false" ht="23.85" hidden="false" customHeight="false" outlineLevel="0" collapsed="false">
      <c r="A26" s="6" t="s">
        <v>106</v>
      </c>
      <c r="B26" s="6" t="s">
        <v>107</v>
      </c>
      <c r="C26" s="6" t="s">
        <v>172</v>
      </c>
      <c r="D26" s="6" t="s">
        <v>186</v>
      </c>
      <c r="E26" s="6" t="s">
        <v>187</v>
      </c>
      <c r="F26" s="6" t="s">
        <v>175</v>
      </c>
      <c r="G26" s="7" t="s">
        <v>149</v>
      </c>
      <c r="H26" s="7"/>
      <c r="I26" s="7"/>
      <c r="J26" s="7"/>
      <c r="K26" s="7"/>
      <c r="L26" s="7"/>
    </row>
    <row r="27" customFormat="false" ht="23.85" hidden="false" customHeight="false" outlineLevel="0" collapsed="false">
      <c r="A27" s="6" t="s">
        <v>106</v>
      </c>
      <c r="B27" s="6" t="s">
        <v>107</v>
      </c>
      <c r="C27" s="6" t="s">
        <v>172</v>
      </c>
      <c r="D27" s="6" t="s">
        <v>188</v>
      </c>
      <c r="E27" s="6" t="s">
        <v>189</v>
      </c>
      <c r="F27" s="6" t="s">
        <v>175</v>
      </c>
      <c r="G27" s="7" t="s">
        <v>149</v>
      </c>
      <c r="H27" s="7"/>
      <c r="I27" s="7"/>
      <c r="J27" s="7"/>
      <c r="K27" s="7"/>
      <c r="L27" s="7"/>
    </row>
    <row r="28" customFormat="false" ht="23.85" hidden="false" customHeight="false" outlineLevel="0" collapsed="false">
      <c r="A28" s="6" t="s">
        <v>106</v>
      </c>
      <c r="B28" s="6" t="s">
        <v>107</v>
      </c>
      <c r="C28" s="6" t="s">
        <v>172</v>
      </c>
      <c r="D28" s="6" t="s">
        <v>190</v>
      </c>
      <c r="E28" s="6" t="s">
        <v>191</v>
      </c>
      <c r="F28" s="6" t="s">
        <v>175</v>
      </c>
      <c r="G28" s="7" t="s">
        <v>149</v>
      </c>
      <c r="H28" s="7"/>
      <c r="I28" s="7"/>
      <c r="J28" s="7"/>
      <c r="K28" s="7"/>
      <c r="L28" s="7"/>
    </row>
    <row r="29" customFormat="false" ht="23.85" hidden="false" customHeight="false" outlineLevel="0" collapsed="false">
      <c r="A29" s="6" t="s">
        <v>106</v>
      </c>
      <c r="B29" s="6" t="s">
        <v>107</v>
      </c>
      <c r="C29" s="6" t="s">
        <v>172</v>
      </c>
      <c r="D29" s="6" t="s">
        <v>192</v>
      </c>
      <c r="E29" s="6" t="s">
        <v>193</v>
      </c>
      <c r="F29" s="6" t="s">
        <v>175</v>
      </c>
      <c r="G29" s="7" t="s">
        <v>149</v>
      </c>
      <c r="H29" s="7"/>
      <c r="I29" s="7"/>
      <c r="J29" s="7"/>
      <c r="K29" s="7"/>
      <c r="L29" s="7"/>
    </row>
    <row r="30" customFormat="false" ht="23.85" hidden="false" customHeight="false" outlineLevel="0" collapsed="false">
      <c r="A30" s="6" t="s">
        <v>106</v>
      </c>
      <c r="B30" s="6" t="s">
        <v>107</v>
      </c>
      <c r="C30" s="6" t="s">
        <v>172</v>
      </c>
      <c r="D30" s="6" t="s">
        <v>194</v>
      </c>
      <c r="E30" s="6" t="s">
        <v>195</v>
      </c>
      <c r="F30" s="6" t="s">
        <v>175</v>
      </c>
      <c r="G30" s="7" t="s">
        <v>149</v>
      </c>
      <c r="H30" s="7"/>
      <c r="I30" s="7"/>
      <c r="J30" s="7"/>
      <c r="K30" s="7"/>
      <c r="L30" s="7"/>
    </row>
    <row r="31" customFormat="false" ht="23.85" hidden="false" customHeight="false" outlineLevel="0" collapsed="false">
      <c r="A31" s="6" t="s">
        <v>106</v>
      </c>
      <c r="B31" s="6" t="s">
        <v>107</v>
      </c>
      <c r="C31" s="6" t="s">
        <v>172</v>
      </c>
      <c r="D31" s="6" t="s">
        <v>196</v>
      </c>
      <c r="E31" s="6" t="s">
        <v>197</v>
      </c>
      <c r="F31" s="6" t="s">
        <v>175</v>
      </c>
      <c r="G31" s="7" t="s">
        <v>149</v>
      </c>
      <c r="H31" s="7"/>
      <c r="I31" s="7"/>
      <c r="J31" s="7"/>
      <c r="K31" s="7"/>
      <c r="L31" s="7"/>
    </row>
    <row r="32" customFormat="false" ht="15" hidden="false" customHeight="false" outlineLevel="0" collapsed="false">
      <c r="A32" s="13" t="s">
        <v>198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</row>
    <row r="33" customFormat="false" ht="42" hidden="false" customHeight="true" outlineLevel="0" collapsed="false">
      <c r="A33" s="14" t="s">
        <v>199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3.85" hidden="false" customHeight="false" outlineLevel="0" collapsed="false">
      <c r="A34" s="6" t="s">
        <v>108</v>
      </c>
      <c r="B34" s="6" t="s">
        <v>109</v>
      </c>
      <c r="C34" s="6" t="s">
        <v>200</v>
      </c>
      <c r="D34" s="6" t="s">
        <v>201</v>
      </c>
      <c r="E34" s="6" t="s">
        <v>202</v>
      </c>
      <c r="F34" s="6" t="s">
        <v>175</v>
      </c>
      <c r="G34" s="7" t="s">
        <v>149</v>
      </c>
      <c r="H34" s="7"/>
      <c r="I34" s="7"/>
      <c r="J34" s="7"/>
      <c r="K34" s="7"/>
      <c r="L34" s="7"/>
    </row>
    <row r="35" customFormat="false" ht="23.85" hidden="false" customHeight="false" outlineLevel="0" collapsed="false">
      <c r="A35" s="6" t="s">
        <v>108</v>
      </c>
      <c r="B35" s="6" t="s">
        <v>109</v>
      </c>
      <c r="C35" s="6" t="s">
        <v>200</v>
      </c>
      <c r="D35" s="6" t="s">
        <v>203</v>
      </c>
      <c r="E35" s="6" t="s">
        <v>204</v>
      </c>
      <c r="F35" s="6" t="s">
        <v>175</v>
      </c>
      <c r="G35" s="7" t="s">
        <v>149</v>
      </c>
      <c r="H35" s="7"/>
      <c r="I35" s="7"/>
      <c r="J35" s="7"/>
      <c r="K35" s="7"/>
      <c r="L35" s="7"/>
    </row>
    <row r="36" customFormat="false" ht="23.85" hidden="false" customHeight="false" outlineLevel="0" collapsed="false">
      <c r="A36" s="6" t="s">
        <v>108</v>
      </c>
      <c r="B36" s="6" t="s">
        <v>109</v>
      </c>
      <c r="C36" s="6" t="s">
        <v>200</v>
      </c>
      <c r="D36" s="6" t="s">
        <v>205</v>
      </c>
      <c r="E36" s="6" t="s">
        <v>206</v>
      </c>
      <c r="F36" s="6" t="s">
        <v>175</v>
      </c>
      <c r="G36" s="7" t="s">
        <v>149</v>
      </c>
      <c r="H36" s="7"/>
      <c r="I36" s="7"/>
      <c r="J36" s="7"/>
      <c r="K36" s="7"/>
      <c r="L36" s="7"/>
    </row>
    <row r="37" customFormat="false" ht="23.85" hidden="false" customHeight="false" outlineLevel="0" collapsed="false">
      <c r="A37" s="6" t="s">
        <v>108</v>
      </c>
      <c r="B37" s="6" t="s">
        <v>109</v>
      </c>
      <c r="C37" s="6" t="s">
        <v>200</v>
      </c>
      <c r="D37" s="6" t="s">
        <v>207</v>
      </c>
      <c r="E37" s="6" t="s">
        <v>208</v>
      </c>
      <c r="F37" s="6" t="s">
        <v>175</v>
      </c>
      <c r="G37" s="7" t="s">
        <v>149</v>
      </c>
      <c r="H37" s="7"/>
      <c r="I37" s="7"/>
      <c r="J37" s="7"/>
      <c r="K37" s="7"/>
      <c r="L37" s="7"/>
    </row>
    <row r="38" customFormat="false" ht="23.85" hidden="false" customHeight="false" outlineLevel="0" collapsed="false">
      <c r="A38" s="6" t="s">
        <v>108</v>
      </c>
      <c r="B38" s="6" t="s">
        <v>109</v>
      </c>
      <c r="C38" s="6" t="s">
        <v>200</v>
      </c>
      <c r="D38" s="6" t="s">
        <v>209</v>
      </c>
      <c r="E38" s="6" t="s">
        <v>210</v>
      </c>
      <c r="F38" s="6" t="s">
        <v>175</v>
      </c>
      <c r="G38" s="7" t="s">
        <v>149</v>
      </c>
      <c r="H38" s="7"/>
      <c r="I38" s="7"/>
      <c r="J38" s="7"/>
      <c r="K38" s="7"/>
      <c r="L38" s="7"/>
    </row>
    <row r="39" customFormat="false" ht="23.85" hidden="false" customHeight="false" outlineLevel="0" collapsed="false">
      <c r="A39" s="6" t="s">
        <v>108</v>
      </c>
      <c r="B39" s="6" t="s">
        <v>109</v>
      </c>
      <c r="C39" s="6" t="s">
        <v>200</v>
      </c>
      <c r="D39" s="6" t="s">
        <v>211</v>
      </c>
      <c r="E39" s="6" t="s">
        <v>212</v>
      </c>
      <c r="F39" s="6" t="s">
        <v>175</v>
      </c>
      <c r="G39" s="7" t="s">
        <v>149</v>
      </c>
      <c r="H39" s="7"/>
      <c r="I39" s="7"/>
      <c r="J39" s="7"/>
      <c r="K39" s="7"/>
      <c r="L39" s="7"/>
    </row>
    <row r="40" customFormat="false" ht="23.85" hidden="false" customHeight="false" outlineLevel="0" collapsed="false">
      <c r="A40" s="6" t="s">
        <v>108</v>
      </c>
      <c r="B40" s="6" t="s">
        <v>109</v>
      </c>
      <c r="C40" s="6" t="s">
        <v>200</v>
      </c>
      <c r="D40" s="6" t="s">
        <v>213</v>
      </c>
      <c r="E40" s="6" t="s">
        <v>214</v>
      </c>
      <c r="F40" s="6" t="s">
        <v>175</v>
      </c>
      <c r="G40" s="7" t="s">
        <v>149</v>
      </c>
      <c r="H40" s="7"/>
      <c r="I40" s="7"/>
      <c r="J40" s="7"/>
      <c r="K40" s="7"/>
      <c r="L40" s="7"/>
    </row>
    <row r="41" customFormat="false" ht="23.85" hidden="false" customHeight="false" outlineLevel="0" collapsed="false">
      <c r="A41" s="6" t="s">
        <v>108</v>
      </c>
      <c r="B41" s="6" t="s">
        <v>109</v>
      </c>
      <c r="C41" s="6" t="s">
        <v>200</v>
      </c>
      <c r="D41" s="6" t="s">
        <v>215</v>
      </c>
      <c r="E41" s="6" t="s">
        <v>216</v>
      </c>
      <c r="F41" s="6" t="s">
        <v>175</v>
      </c>
      <c r="G41" s="7" t="s">
        <v>149</v>
      </c>
      <c r="H41" s="7"/>
      <c r="I41" s="7"/>
      <c r="J41" s="7"/>
      <c r="K41" s="7"/>
      <c r="L41" s="7"/>
    </row>
    <row r="42" customFormat="false" ht="23.85" hidden="false" customHeight="false" outlineLevel="0" collapsed="false">
      <c r="A42" s="6" t="s">
        <v>108</v>
      </c>
      <c r="B42" s="6" t="s">
        <v>109</v>
      </c>
      <c r="C42" s="6" t="s">
        <v>200</v>
      </c>
      <c r="D42" s="6" t="s">
        <v>217</v>
      </c>
      <c r="E42" s="6" t="s">
        <v>218</v>
      </c>
      <c r="F42" s="6" t="s">
        <v>175</v>
      </c>
      <c r="G42" s="7" t="s">
        <v>149</v>
      </c>
      <c r="H42" s="7"/>
      <c r="I42" s="7"/>
      <c r="J42" s="7"/>
      <c r="K42" s="7"/>
      <c r="L42" s="7"/>
    </row>
    <row r="43" customFormat="false" ht="23.85" hidden="false" customHeight="false" outlineLevel="0" collapsed="false">
      <c r="A43" s="6" t="s">
        <v>108</v>
      </c>
      <c r="B43" s="6" t="s">
        <v>109</v>
      </c>
      <c r="C43" s="6" t="s">
        <v>200</v>
      </c>
      <c r="D43" s="6" t="s">
        <v>219</v>
      </c>
      <c r="E43" s="6" t="s">
        <v>220</v>
      </c>
      <c r="F43" s="6" t="s">
        <v>175</v>
      </c>
      <c r="G43" s="7" t="s">
        <v>149</v>
      </c>
      <c r="H43" s="7"/>
      <c r="I43" s="7"/>
      <c r="J43" s="7"/>
      <c r="K43" s="7"/>
      <c r="L43" s="7"/>
    </row>
    <row r="44" customFormat="false" ht="23.85" hidden="false" customHeight="false" outlineLevel="0" collapsed="false">
      <c r="A44" s="6" t="s">
        <v>108</v>
      </c>
      <c r="B44" s="6" t="s">
        <v>109</v>
      </c>
      <c r="C44" s="6" t="s">
        <v>200</v>
      </c>
      <c r="D44" s="6" t="s">
        <v>221</v>
      </c>
      <c r="E44" s="6" t="s">
        <v>222</v>
      </c>
      <c r="F44" s="6" t="s">
        <v>175</v>
      </c>
      <c r="G44" s="7" t="s">
        <v>149</v>
      </c>
      <c r="H44" s="7"/>
      <c r="I44" s="7"/>
      <c r="J44" s="7"/>
      <c r="K44" s="7"/>
      <c r="L44" s="7"/>
    </row>
    <row r="45" customFormat="false" ht="23.85" hidden="false" customHeight="false" outlineLevel="0" collapsed="false">
      <c r="A45" s="6" t="s">
        <v>108</v>
      </c>
      <c r="B45" s="6" t="s">
        <v>109</v>
      </c>
      <c r="C45" s="6" t="s">
        <v>200</v>
      </c>
      <c r="D45" s="6" t="s">
        <v>223</v>
      </c>
      <c r="E45" s="6" t="s">
        <v>224</v>
      </c>
      <c r="F45" s="6" t="s">
        <v>175</v>
      </c>
      <c r="G45" s="7" t="s">
        <v>149</v>
      </c>
      <c r="H45" s="7"/>
      <c r="I45" s="7"/>
      <c r="J45" s="7"/>
      <c r="K45" s="7"/>
      <c r="L45" s="7"/>
    </row>
    <row r="46" customFormat="false" ht="23.85" hidden="false" customHeight="false" outlineLevel="0" collapsed="false">
      <c r="A46" s="6" t="s">
        <v>108</v>
      </c>
      <c r="B46" s="6" t="s">
        <v>109</v>
      </c>
      <c r="C46" s="6" t="s">
        <v>200</v>
      </c>
      <c r="D46" s="6" t="s">
        <v>225</v>
      </c>
      <c r="E46" s="6" t="s">
        <v>226</v>
      </c>
      <c r="F46" s="6" t="s">
        <v>175</v>
      </c>
      <c r="G46" s="7" t="s">
        <v>149</v>
      </c>
      <c r="H46" s="7"/>
      <c r="I46" s="7"/>
      <c r="J46" s="7"/>
      <c r="K46" s="7"/>
      <c r="L46" s="7"/>
    </row>
    <row r="47" customFormat="false" ht="23.85" hidden="false" customHeight="false" outlineLevel="0" collapsed="false">
      <c r="A47" s="6" t="s">
        <v>108</v>
      </c>
      <c r="B47" s="6" t="s">
        <v>109</v>
      </c>
      <c r="C47" s="6" t="s">
        <v>200</v>
      </c>
      <c r="D47" s="6" t="s">
        <v>227</v>
      </c>
      <c r="E47" s="6" t="s">
        <v>228</v>
      </c>
      <c r="F47" s="6" t="s">
        <v>175</v>
      </c>
      <c r="G47" s="7" t="s">
        <v>149</v>
      </c>
      <c r="H47" s="7"/>
      <c r="I47" s="7"/>
      <c r="J47" s="7"/>
      <c r="K47" s="7"/>
      <c r="L47" s="7"/>
    </row>
    <row r="48" customFormat="false" ht="23.85" hidden="false" customHeight="false" outlineLevel="0" collapsed="false">
      <c r="A48" s="6" t="s">
        <v>108</v>
      </c>
      <c r="B48" s="6" t="s">
        <v>109</v>
      </c>
      <c r="C48" s="6" t="s">
        <v>200</v>
      </c>
      <c r="D48" s="6" t="s">
        <v>229</v>
      </c>
      <c r="E48" s="6" t="s">
        <v>230</v>
      </c>
      <c r="F48" s="6" t="s">
        <v>175</v>
      </c>
      <c r="G48" s="7" t="s">
        <v>149</v>
      </c>
      <c r="H48" s="7"/>
      <c r="I48" s="7"/>
      <c r="J48" s="7"/>
      <c r="K48" s="7"/>
      <c r="L48" s="7"/>
    </row>
    <row r="49" customFormat="false" ht="23.85" hidden="false" customHeight="false" outlineLevel="0" collapsed="false">
      <c r="A49" s="6" t="s">
        <v>108</v>
      </c>
      <c r="B49" s="6" t="s">
        <v>109</v>
      </c>
      <c r="C49" s="6" t="s">
        <v>200</v>
      </c>
      <c r="D49" s="6" t="s">
        <v>231</v>
      </c>
      <c r="E49" s="6" t="s">
        <v>232</v>
      </c>
      <c r="F49" s="6" t="s">
        <v>175</v>
      </c>
      <c r="G49" s="7" t="s">
        <v>149</v>
      </c>
      <c r="H49" s="7"/>
      <c r="I49" s="7"/>
      <c r="J49" s="7"/>
      <c r="K49" s="7"/>
      <c r="L49" s="7"/>
    </row>
    <row r="50" customFormat="false" ht="15" hidden="false" customHeight="false" outlineLevel="0" collapsed="false">
      <c r="A50" s="13" t="s">
        <v>233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</row>
    <row r="51" customFormat="false" ht="42" hidden="false" customHeight="true" outlineLevel="0" collapsed="false">
      <c r="A51" s="14" t="s">
        <v>234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</row>
    <row r="52" customFormat="false" ht="23.85" hidden="false" customHeight="false" outlineLevel="0" collapsed="false">
      <c r="A52" s="6" t="s">
        <v>110</v>
      </c>
      <c r="B52" s="6" t="s">
        <v>111</v>
      </c>
      <c r="C52" s="6" t="s">
        <v>235</v>
      </c>
      <c r="D52" s="6" t="s">
        <v>236</v>
      </c>
      <c r="E52" s="6" t="s">
        <v>237</v>
      </c>
      <c r="F52" s="6" t="s">
        <v>238</v>
      </c>
      <c r="G52" s="7" t="s">
        <v>149</v>
      </c>
      <c r="H52" s="7"/>
      <c r="I52" s="7"/>
      <c r="J52" s="7"/>
      <c r="K52" s="7"/>
      <c r="L52" s="7"/>
    </row>
    <row r="53" customFormat="false" ht="23.85" hidden="false" customHeight="false" outlineLevel="0" collapsed="false">
      <c r="A53" s="6" t="s">
        <v>110</v>
      </c>
      <c r="B53" s="6" t="s">
        <v>111</v>
      </c>
      <c r="C53" s="6" t="s">
        <v>235</v>
      </c>
      <c r="D53" s="6" t="s">
        <v>239</v>
      </c>
      <c r="E53" s="6" t="s">
        <v>240</v>
      </c>
      <c r="F53" s="6" t="s">
        <v>238</v>
      </c>
      <c r="G53" s="7" t="s">
        <v>149</v>
      </c>
      <c r="H53" s="7"/>
      <c r="I53" s="7"/>
      <c r="J53" s="7"/>
      <c r="K53" s="7"/>
      <c r="L53" s="7"/>
    </row>
    <row r="54" customFormat="false" ht="23.85" hidden="false" customHeight="false" outlineLevel="0" collapsed="false">
      <c r="A54" s="6" t="s">
        <v>110</v>
      </c>
      <c r="B54" s="6" t="s">
        <v>111</v>
      </c>
      <c r="C54" s="6" t="s">
        <v>235</v>
      </c>
      <c r="D54" s="6" t="s">
        <v>241</v>
      </c>
      <c r="E54" s="6" t="s">
        <v>242</v>
      </c>
      <c r="F54" s="6" t="s">
        <v>238</v>
      </c>
      <c r="G54" s="7" t="s">
        <v>149</v>
      </c>
      <c r="H54" s="7"/>
      <c r="I54" s="7"/>
      <c r="J54" s="7"/>
      <c r="K54" s="7"/>
      <c r="L54" s="7"/>
    </row>
    <row r="55" customFormat="false" ht="23.85" hidden="false" customHeight="false" outlineLevel="0" collapsed="false">
      <c r="A55" s="6" t="s">
        <v>110</v>
      </c>
      <c r="B55" s="6" t="s">
        <v>111</v>
      </c>
      <c r="C55" s="6" t="s">
        <v>235</v>
      </c>
      <c r="D55" s="6" t="s">
        <v>243</v>
      </c>
      <c r="E55" s="6" t="s">
        <v>244</v>
      </c>
      <c r="F55" s="6" t="s">
        <v>238</v>
      </c>
      <c r="G55" s="7" t="s">
        <v>149</v>
      </c>
      <c r="H55" s="7"/>
      <c r="I55" s="7"/>
      <c r="J55" s="7"/>
      <c r="K55" s="7"/>
      <c r="L55" s="7"/>
    </row>
    <row r="56" customFormat="false" ht="23.85" hidden="false" customHeight="false" outlineLevel="0" collapsed="false">
      <c r="A56" s="6" t="s">
        <v>110</v>
      </c>
      <c r="B56" s="6" t="s">
        <v>111</v>
      </c>
      <c r="C56" s="6" t="s">
        <v>235</v>
      </c>
      <c r="D56" s="6" t="s">
        <v>245</v>
      </c>
      <c r="E56" s="6" t="s">
        <v>246</v>
      </c>
      <c r="F56" s="6" t="s">
        <v>238</v>
      </c>
      <c r="G56" s="7" t="s">
        <v>149</v>
      </c>
      <c r="H56" s="7"/>
      <c r="I56" s="7"/>
      <c r="J56" s="7"/>
      <c r="K56" s="7"/>
      <c r="L56" s="7"/>
    </row>
    <row r="57" customFormat="false" ht="23.85" hidden="false" customHeight="false" outlineLevel="0" collapsed="false">
      <c r="A57" s="6" t="s">
        <v>110</v>
      </c>
      <c r="B57" s="6" t="s">
        <v>111</v>
      </c>
      <c r="C57" s="6" t="s">
        <v>235</v>
      </c>
      <c r="D57" s="6" t="s">
        <v>247</v>
      </c>
      <c r="E57" s="6" t="s">
        <v>248</v>
      </c>
      <c r="F57" s="6" t="s">
        <v>238</v>
      </c>
      <c r="G57" s="7" t="s">
        <v>149</v>
      </c>
      <c r="H57" s="7"/>
      <c r="I57" s="7"/>
      <c r="J57" s="7"/>
      <c r="K57" s="7"/>
      <c r="L57" s="7"/>
    </row>
    <row r="58" customFormat="false" ht="23.85" hidden="false" customHeight="false" outlineLevel="0" collapsed="false">
      <c r="A58" s="6" t="s">
        <v>110</v>
      </c>
      <c r="B58" s="6" t="s">
        <v>111</v>
      </c>
      <c r="C58" s="6" t="s">
        <v>235</v>
      </c>
      <c r="D58" s="6" t="s">
        <v>249</v>
      </c>
      <c r="E58" s="6" t="s">
        <v>250</v>
      </c>
      <c r="F58" s="6" t="s">
        <v>238</v>
      </c>
      <c r="G58" s="7" t="s">
        <v>149</v>
      </c>
      <c r="H58" s="7"/>
      <c r="I58" s="7"/>
      <c r="J58" s="7"/>
      <c r="K58" s="7"/>
      <c r="L58" s="7"/>
    </row>
    <row r="59" customFormat="false" ht="23.85" hidden="false" customHeight="false" outlineLevel="0" collapsed="false">
      <c r="A59" s="6" t="s">
        <v>110</v>
      </c>
      <c r="B59" s="6" t="s">
        <v>111</v>
      </c>
      <c r="C59" s="6" t="s">
        <v>235</v>
      </c>
      <c r="D59" s="6" t="s">
        <v>251</v>
      </c>
      <c r="E59" s="6" t="s">
        <v>252</v>
      </c>
      <c r="F59" s="6" t="s">
        <v>238</v>
      </c>
      <c r="G59" s="7" t="s">
        <v>149</v>
      </c>
      <c r="H59" s="7"/>
      <c r="I59" s="7"/>
      <c r="J59" s="7"/>
      <c r="K59" s="7"/>
      <c r="L59" s="7"/>
    </row>
    <row r="60" customFormat="false" ht="23.85" hidden="false" customHeight="false" outlineLevel="0" collapsed="false">
      <c r="A60" s="6" t="s">
        <v>110</v>
      </c>
      <c r="B60" s="6" t="s">
        <v>111</v>
      </c>
      <c r="C60" s="6" t="s">
        <v>235</v>
      </c>
      <c r="D60" s="6" t="s">
        <v>253</v>
      </c>
      <c r="E60" s="6" t="s">
        <v>254</v>
      </c>
      <c r="F60" s="6" t="s">
        <v>238</v>
      </c>
      <c r="G60" s="7" t="s">
        <v>149</v>
      </c>
      <c r="H60" s="7"/>
      <c r="I60" s="7"/>
      <c r="J60" s="7"/>
      <c r="K60" s="7"/>
      <c r="L60" s="7"/>
    </row>
    <row r="61" customFormat="false" ht="23.85" hidden="false" customHeight="false" outlineLevel="0" collapsed="false">
      <c r="A61" s="6" t="s">
        <v>110</v>
      </c>
      <c r="B61" s="6" t="s">
        <v>111</v>
      </c>
      <c r="C61" s="6" t="s">
        <v>235</v>
      </c>
      <c r="D61" s="6" t="s">
        <v>255</v>
      </c>
      <c r="E61" s="6" t="s">
        <v>256</v>
      </c>
      <c r="F61" s="6" t="s">
        <v>238</v>
      </c>
      <c r="G61" s="7" t="s">
        <v>149</v>
      </c>
      <c r="H61" s="7"/>
      <c r="I61" s="7"/>
      <c r="J61" s="7"/>
      <c r="K61" s="7"/>
      <c r="L61" s="7"/>
    </row>
    <row r="62" customFormat="false" ht="23.85" hidden="false" customHeight="false" outlineLevel="0" collapsed="false">
      <c r="A62" s="6" t="s">
        <v>110</v>
      </c>
      <c r="B62" s="6" t="s">
        <v>111</v>
      </c>
      <c r="C62" s="6" t="s">
        <v>235</v>
      </c>
      <c r="D62" s="6" t="s">
        <v>257</v>
      </c>
      <c r="E62" s="6" t="s">
        <v>258</v>
      </c>
      <c r="F62" s="6" t="s">
        <v>238</v>
      </c>
      <c r="G62" s="7" t="s">
        <v>149</v>
      </c>
      <c r="H62" s="7"/>
      <c r="I62" s="7"/>
      <c r="J62" s="7"/>
      <c r="K62" s="7"/>
      <c r="L62" s="7"/>
    </row>
    <row r="63" customFormat="false" ht="23.85" hidden="false" customHeight="false" outlineLevel="0" collapsed="false">
      <c r="A63" s="6" t="s">
        <v>110</v>
      </c>
      <c r="B63" s="6" t="s">
        <v>111</v>
      </c>
      <c r="C63" s="6" t="s">
        <v>235</v>
      </c>
      <c r="D63" s="6" t="s">
        <v>259</v>
      </c>
      <c r="E63" s="6" t="s">
        <v>260</v>
      </c>
      <c r="F63" s="6" t="s">
        <v>238</v>
      </c>
      <c r="G63" s="7" t="s">
        <v>149</v>
      </c>
      <c r="H63" s="7"/>
      <c r="I63" s="7"/>
      <c r="J63" s="7"/>
      <c r="K63" s="7"/>
      <c r="L63" s="7"/>
    </row>
    <row r="64" customFormat="false" ht="15" hidden="false" customHeight="false" outlineLevel="0" collapsed="false">
      <c r="A64" s="13" t="s">
        <v>261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</row>
    <row r="65" customFormat="false" ht="42" hidden="false" customHeight="true" outlineLevel="0" collapsed="false">
      <c r="A65" s="14" t="s">
        <v>262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</row>
    <row r="66" customFormat="false" ht="35.05" hidden="false" customHeight="false" outlineLevel="0" collapsed="false">
      <c r="A66" s="6" t="s">
        <v>112</v>
      </c>
      <c r="B66" s="6" t="s">
        <v>113</v>
      </c>
      <c r="C66" s="6" t="s">
        <v>263</v>
      </c>
      <c r="D66" s="6" t="s">
        <v>264</v>
      </c>
      <c r="E66" s="6" t="s">
        <v>265</v>
      </c>
      <c r="F66" s="6" t="s">
        <v>266</v>
      </c>
      <c r="G66" s="7" t="s">
        <v>149</v>
      </c>
      <c r="H66" s="7"/>
      <c r="I66" s="7"/>
      <c r="J66" s="7"/>
      <c r="K66" s="7"/>
      <c r="L66" s="7"/>
    </row>
    <row r="67" customFormat="false" ht="35.05" hidden="false" customHeight="false" outlineLevel="0" collapsed="false">
      <c r="A67" s="6" t="s">
        <v>112</v>
      </c>
      <c r="B67" s="6" t="s">
        <v>113</v>
      </c>
      <c r="C67" s="6" t="s">
        <v>263</v>
      </c>
      <c r="D67" s="6" t="s">
        <v>267</v>
      </c>
      <c r="E67" s="6" t="s">
        <v>268</v>
      </c>
      <c r="F67" s="6" t="s">
        <v>266</v>
      </c>
      <c r="G67" s="7" t="s">
        <v>149</v>
      </c>
      <c r="H67" s="7"/>
      <c r="I67" s="7"/>
      <c r="J67" s="7"/>
      <c r="K67" s="7"/>
      <c r="L67" s="7"/>
    </row>
    <row r="68" customFormat="false" ht="35.05" hidden="false" customHeight="false" outlineLevel="0" collapsed="false">
      <c r="A68" s="6" t="s">
        <v>112</v>
      </c>
      <c r="B68" s="6" t="s">
        <v>113</v>
      </c>
      <c r="C68" s="6" t="s">
        <v>263</v>
      </c>
      <c r="D68" s="6" t="s">
        <v>269</v>
      </c>
      <c r="E68" s="6" t="s">
        <v>270</v>
      </c>
      <c r="F68" s="6" t="s">
        <v>266</v>
      </c>
      <c r="G68" s="7" t="s">
        <v>149</v>
      </c>
      <c r="H68" s="7"/>
      <c r="I68" s="7"/>
      <c r="J68" s="7"/>
      <c r="K68" s="7"/>
      <c r="L68" s="7"/>
    </row>
    <row r="69" customFormat="false" ht="35.05" hidden="false" customHeight="false" outlineLevel="0" collapsed="false">
      <c r="A69" s="6" t="s">
        <v>112</v>
      </c>
      <c r="B69" s="6" t="s">
        <v>113</v>
      </c>
      <c r="C69" s="6" t="s">
        <v>263</v>
      </c>
      <c r="D69" s="6" t="s">
        <v>271</v>
      </c>
      <c r="E69" s="6" t="s">
        <v>272</v>
      </c>
      <c r="F69" s="6" t="s">
        <v>266</v>
      </c>
      <c r="G69" s="7" t="s">
        <v>149</v>
      </c>
      <c r="H69" s="7"/>
      <c r="I69" s="7"/>
      <c r="J69" s="7"/>
      <c r="K69" s="7"/>
      <c r="L69" s="7"/>
    </row>
    <row r="70" customFormat="false" ht="35.05" hidden="false" customHeight="false" outlineLevel="0" collapsed="false">
      <c r="A70" s="6" t="s">
        <v>112</v>
      </c>
      <c r="B70" s="6" t="s">
        <v>113</v>
      </c>
      <c r="C70" s="6" t="s">
        <v>263</v>
      </c>
      <c r="D70" s="6" t="s">
        <v>273</v>
      </c>
      <c r="E70" s="6" t="s">
        <v>274</v>
      </c>
      <c r="F70" s="6" t="s">
        <v>266</v>
      </c>
      <c r="G70" s="7" t="s">
        <v>149</v>
      </c>
      <c r="H70" s="7"/>
      <c r="I70" s="7"/>
      <c r="J70" s="7"/>
      <c r="K70" s="7"/>
      <c r="L70" s="7"/>
    </row>
    <row r="71" customFormat="false" ht="46.25" hidden="false" customHeight="false" outlineLevel="0" collapsed="false">
      <c r="A71" s="6" t="s">
        <v>112</v>
      </c>
      <c r="B71" s="6" t="s">
        <v>113</v>
      </c>
      <c r="C71" s="6" t="s">
        <v>263</v>
      </c>
      <c r="D71" s="6" t="s">
        <v>275</v>
      </c>
      <c r="E71" s="6" t="s">
        <v>276</v>
      </c>
      <c r="F71" s="6" t="s">
        <v>266</v>
      </c>
      <c r="G71" s="7" t="s">
        <v>149</v>
      </c>
      <c r="H71" s="7"/>
      <c r="I71" s="7"/>
      <c r="J71" s="7"/>
      <c r="K71" s="7"/>
      <c r="L71" s="7"/>
    </row>
    <row r="72" customFormat="false" ht="35.05" hidden="false" customHeight="false" outlineLevel="0" collapsed="false">
      <c r="A72" s="6" t="s">
        <v>112</v>
      </c>
      <c r="B72" s="6" t="s">
        <v>113</v>
      </c>
      <c r="C72" s="6" t="s">
        <v>263</v>
      </c>
      <c r="D72" s="6" t="s">
        <v>277</v>
      </c>
      <c r="E72" s="6" t="s">
        <v>278</v>
      </c>
      <c r="F72" s="6" t="s">
        <v>266</v>
      </c>
      <c r="G72" s="7" t="s">
        <v>149</v>
      </c>
      <c r="H72" s="7"/>
      <c r="I72" s="7"/>
      <c r="J72" s="7"/>
      <c r="K72" s="7"/>
      <c r="L72" s="7"/>
    </row>
    <row r="73" customFormat="false" ht="35.05" hidden="false" customHeight="false" outlineLevel="0" collapsed="false">
      <c r="A73" s="6" t="s">
        <v>112</v>
      </c>
      <c r="B73" s="6" t="s">
        <v>113</v>
      </c>
      <c r="C73" s="6" t="s">
        <v>263</v>
      </c>
      <c r="D73" s="6" t="s">
        <v>279</v>
      </c>
      <c r="E73" s="6" t="s">
        <v>280</v>
      </c>
      <c r="F73" s="6" t="s">
        <v>266</v>
      </c>
      <c r="G73" s="7" t="s">
        <v>149</v>
      </c>
      <c r="H73" s="7"/>
      <c r="I73" s="7"/>
      <c r="J73" s="7"/>
      <c r="K73" s="7"/>
      <c r="L73" s="7"/>
    </row>
    <row r="74" customFormat="false" ht="35.05" hidden="false" customHeight="false" outlineLevel="0" collapsed="false">
      <c r="A74" s="6" t="s">
        <v>112</v>
      </c>
      <c r="B74" s="6" t="s">
        <v>113</v>
      </c>
      <c r="C74" s="6" t="s">
        <v>263</v>
      </c>
      <c r="D74" s="6" t="s">
        <v>281</v>
      </c>
      <c r="E74" s="6" t="s">
        <v>282</v>
      </c>
      <c r="F74" s="6" t="s">
        <v>266</v>
      </c>
      <c r="G74" s="7" t="s">
        <v>149</v>
      </c>
      <c r="H74" s="7"/>
      <c r="I74" s="7"/>
      <c r="J74" s="7"/>
      <c r="K74" s="7"/>
      <c r="L74" s="7"/>
    </row>
    <row r="75" customFormat="false" ht="35.05" hidden="false" customHeight="false" outlineLevel="0" collapsed="false">
      <c r="A75" s="6" t="s">
        <v>112</v>
      </c>
      <c r="B75" s="6" t="s">
        <v>113</v>
      </c>
      <c r="C75" s="6" t="s">
        <v>263</v>
      </c>
      <c r="D75" s="6" t="s">
        <v>283</v>
      </c>
      <c r="E75" s="6" t="s">
        <v>284</v>
      </c>
      <c r="F75" s="6" t="s">
        <v>266</v>
      </c>
      <c r="G75" s="7" t="s">
        <v>149</v>
      </c>
      <c r="H75" s="7"/>
      <c r="I75" s="7"/>
      <c r="J75" s="7"/>
      <c r="K75" s="7"/>
      <c r="L75" s="7"/>
    </row>
    <row r="76" customFormat="false" ht="15" hidden="false" customHeight="false" outlineLevel="0" collapsed="false">
      <c r="A76" s="13" t="s">
        <v>285</v>
      </c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</row>
    <row r="77" customFormat="false" ht="42" hidden="false" customHeight="true" outlineLevel="0" collapsed="false">
      <c r="A77" s="14" t="s">
        <v>286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</row>
    <row r="78" customFormat="false" ht="23.85" hidden="false" customHeight="false" outlineLevel="0" collapsed="false">
      <c r="A78" s="6" t="s">
        <v>114</v>
      </c>
      <c r="B78" s="6" t="s">
        <v>115</v>
      </c>
      <c r="C78" s="6" t="s">
        <v>287</v>
      </c>
      <c r="D78" s="6" t="s">
        <v>288</v>
      </c>
      <c r="E78" s="6" t="s">
        <v>289</v>
      </c>
      <c r="F78" s="6" t="s">
        <v>52</v>
      </c>
      <c r="G78" s="7" t="s">
        <v>149</v>
      </c>
      <c r="H78" s="7"/>
      <c r="I78" s="7"/>
      <c r="J78" s="7"/>
      <c r="K78" s="7"/>
      <c r="L78" s="7"/>
    </row>
    <row r="79" customFormat="false" ht="23.85" hidden="false" customHeight="false" outlineLevel="0" collapsed="false">
      <c r="A79" s="6" t="s">
        <v>114</v>
      </c>
      <c r="B79" s="6" t="s">
        <v>115</v>
      </c>
      <c r="C79" s="6" t="s">
        <v>287</v>
      </c>
      <c r="D79" s="6" t="s">
        <v>290</v>
      </c>
      <c r="E79" s="6" t="s">
        <v>291</v>
      </c>
      <c r="F79" s="6" t="s">
        <v>52</v>
      </c>
      <c r="G79" s="7" t="s">
        <v>149</v>
      </c>
      <c r="H79" s="7"/>
      <c r="I79" s="7"/>
      <c r="J79" s="7"/>
      <c r="K79" s="7"/>
      <c r="L79" s="7"/>
    </row>
    <row r="80" customFormat="false" ht="23.85" hidden="false" customHeight="false" outlineLevel="0" collapsed="false">
      <c r="A80" s="6" t="s">
        <v>114</v>
      </c>
      <c r="B80" s="6" t="s">
        <v>115</v>
      </c>
      <c r="C80" s="6" t="s">
        <v>287</v>
      </c>
      <c r="D80" s="6" t="s">
        <v>292</v>
      </c>
      <c r="E80" s="6" t="s">
        <v>293</v>
      </c>
      <c r="F80" s="6" t="s">
        <v>52</v>
      </c>
      <c r="G80" s="7" t="s">
        <v>149</v>
      </c>
      <c r="H80" s="7"/>
      <c r="I80" s="7"/>
      <c r="J80" s="7"/>
      <c r="K80" s="7"/>
      <c r="L80" s="7"/>
    </row>
    <row r="81" customFormat="false" ht="23.85" hidden="false" customHeight="false" outlineLevel="0" collapsed="false">
      <c r="A81" s="6" t="s">
        <v>114</v>
      </c>
      <c r="B81" s="6" t="s">
        <v>115</v>
      </c>
      <c r="C81" s="6" t="s">
        <v>287</v>
      </c>
      <c r="D81" s="6" t="s">
        <v>294</v>
      </c>
      <c r="E81" s="6" t="s">
        <v>295</v>
      </c>
      <c r="F81" s="6" t="s">
        <v>52</v>
      </c>
      <c r="G81" s="7" t="s">
        <v>149</v>
      </c>
      <c r="H81" s="7"/>
      <c r="I81" s="7"/>
      <c r="J81" s="7"/>
      <c r="K81" s="7"/>
      <c r="L81" s="7"/>
    </row>
    <row r="82" customFormat="false" ht="23.85" hidden="false" customHeight="false" outlineLevel="0" collapsed="false">
      <c r="A82" s="6" t="s">
        <v>114</v>
      </c>
      <c r="B82" s="6" t="s">
        <v>115</v>
      </c>
      <c r="C82" s="6" t="s">
        <v>287</v>
      </c>
      <c r="D82" s="6" t="s">
        <v>296</v>
      </c>
      <c r="E82" s="6" t="s">
        <v>297</v>
      </c>
      <c r="F82" s="6" t="s">
        <v>52</v>
      </c>
      <c r="G82" s="7" t="s">
        <v>149</v>
      </c>
      <c r="H82" s="7"/>
      <c r="I82" s="7"/>
      <c r="J82" s="7"/>
      <c r="K82" s="7"/>
      <c r="L82" s="7"/>
    </row>
    <row r="83" customFormat="false" ht="23.85" hidden="false" customHeight="false" outlineLevel="0" collapsed="false">
      <c r="A83" s="6" t="s">
        <v>114</v>
      </c>
      <c r="B83" s="6" t="s">
        <v>115</v>
      </c>
      <c r="C83" s="6" t="s">
        <v>287</v>
      </c>
      <c r="D83" s="6" t="s">
        <v>298</v>
      </c>
      <c r="E83" s="6" t="s">
        <v>299</v>
      </c>
      <c r="F83" s="6" t="s">
        <v>52</v>
      </c>
      <c r="G83" s="7" t="s">
        <v>149</v>
      </c>
      <c r="H83" s="7"/>
      <c r="I83" s="7"/>
      <c r="J83" s="7"/>
      <c r="K83" s="7"/>
      <c r="L83" s="7"/>
    </row>
    <row r="84" customFormat="false" ht="23.85" hidden="false" customHeight="false" outlineLevel="0" collapsed="false">
      <c r="A84" s="6" t="s">
        <v>114</v>
      </c>
      <c r="B84" s="6" t="s">
        <v>115</v>
      </c>
      <c r="C84" s="6" t="s">
        <v>287</v>
      </c>
      <c r="D84" s="6" t="s">
        <v>300</v>
      </c>
      <c r="E84" s="6" t="s">
        <v>301</v>
      </c>
      <c r="F84" s="6" t="s">
        <v>52</v>
      </c>
      <c r="G84" s="7" t="s">
        <v>149</v>
      </c>
      <c r="H84" s="7"/>
      <c r="I84" s="7"/>
      <c r="J84" s="7"/>
      <c r="K84" s="7"/>
      <c r="L84" s="7"/>
    </row>
    <row r="85" customFormat="false" ht="23.85" hidden="false" customHeight="false" outlineLevel="0" collapsed="false">
      <c r="A85" s="6" t="s">
        <v>114</v>
      </c>
      <c r="B85" s="6" t="s">
        <v>115</v>
      </c>
      <c r="C85" s="6" t="s">
        <v>287</v>
      </c>
      <c r="D85" s="6" t="s">
        <v>302</v>
      </c>
      <c r="E85" s="6" t="s">
        <v>303</v>
      </c>
      <c r="F85" s="6" t="s">
        <v>52</v>
      </c>
      <c r="G85" s="7" t="s">
        <v>149</v>
      </c>
      <c r="H85" s="7"/>
      <c r="I85" s="7"/>
      <c r="J85" s="7"/>
      <c r="K85" s="7"/>
      <c r="L85" s="7"/>
    </row>
    <row r="86" customFormat="false" ht="23.85" hidden="false" customHeight="false" outlineLevel="0" collapsed="false">
      <c r="A86" s="6" t="s">
        <v>114</v>
      </c>
      <c r="B86" s="6" t="s">
        <v>115</v>
      </c>
      <c r="C86" s="6" t="s">
        <v>287</v>
      </c>
      <c r="D86" s="6" t="s">
        <v>304</v>
      </c>
      <c r="E86" s="6" t="s">
        <v>305</v>
      </c>
      <c r="F86" s="6" t="s">
        <v>52</v>
      </c>
      <c r="G86" s="7" t="s">
        <v>149</v>
      </c>
      <c r="H86" s="7"/>
      <c r="I86" s="7"/>
      <c r="J86" s="7"/>
      <c r="K86" s="7"/>
      <c r="L86" s="7"/>
    </row>
    <row r="87" customFormat="false" ht="23.85" hidden="false" customHeight="false" outlineLevel="0" collapsed="false">
      <c r="A87" s="6" t="s">
        <v>114</v>
      </c>
      <c r="B87" s="6" t="s">
        <v>115</v>
      </c>
      <c r="C87" s="6" t="s">
        <v>287</v>
      </c>
      <c r="D87" s="6" t="s">
        <v>306</v>
      </c>
      <c r="E87" s="6" t="s">
        <v>307</v>
      </c>
      <c r="F87" s="6" t="s">
        <v>52</v>
      </c>
      <c r="G87" s="7" t="s">
        <v>149</v>
      </c>
      <c r="H87" s="7"/>
      <c r="I87" s="7"/>
      <c r="J87" s="7"/>
      <c r="K87" s="7"/>
      <c r="L87" s="7"/>
    </row>
    <row r="88" customFormat="false" ht="23.85" hidden="false" customHeight="false" outlineLevel="0" collapsed="false">
      <c r="A88" s="6" t="s">
        <v>114</v>
      </c>
      <c r="B88" s="6" t="s">
        <v>115</v>
      </c>
      <c r="C88" s="6" t="s">
        <v>287</v>
      </c>
      <c r="D88" s="6" t="s">
        <v>308</v>
      </c>
      <c r="E88" s="6" t="s">
        <v>309</v>
      </c>
      <c r="F88" s="6" t="s">
        <v>52</v>
      </c>
      <c r="G88" s="7" t="s">
        <v>149</v>
      </c>
      <c r="H88" s="7"/>
      <c r="I88" s="7"/>
      <c r="J88" s="7"/>
      <c r="K88" s="7"/>
      <c r="L88" s="7"/>
    </row>
    <row r="89" customFormat="false" ht="23.85" hidden="false" customHeight="false" outlineLevel="0" collapsed="false">
      <c r="A89" s="6" t="s">
        <v>114</v>
      </c>
      <c r="B89" s="6" t="s">
        <v>115</v>
      </c>
      <c r="C89" s="6" t="s">
        <v>287</v>
      </c>
      <c r="D89" s="6" t="s">
        <v>310</v>
      </c>
      <c r="E89" s="6" t="s">
        <v>311</v>
      </c>
      <c r="F89" s="6" t="s">
        <v>52</v>
      </c>
      <c r="G89" s="7" t="s">
        <v>149</v>
      </c>
      <c r="H89" s="7"/>
      <c r="I89" s="7"/>
      <c r="J89" s="7"/>
      <c r="K89" s="7"/>
      <c r="L89" s="7"/>
    </row>
    <row r="90" customFormat="false" ht="15" hidden="false" customHeight="false" outlineLevel="0" collapsed="false">
      <c r="A90" s="13" t="s">
        <v>312</v>
      </c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</row>
    <row r="91" customFormat="false" ht="42" hidden="false" customHeight="true" outlineLevel="0" collapsed="false">
      <c r="A91" s="14" t="s">
        <v>313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</row>
    <row r="92" customFormat="false" ht="23.85" hidden="false" customHeight="false" outlineLevel="0" collapsed="false">
      <c r="A92" s="6" t="s">
        <v>116</v>
      </c>
      <c r="B92" s="6" t="s">
        <v>117</v>
      </c>
      <c r="C92" s="6" t="s">
        <v>314</v>
      </c>
      <c r="D92" s="6" t="s">
        <v>315</v>
      </c>
      <c r="E92" s="6" t="s">
        <v>316</v>
      </c>
      <c r="F92" s="6" t="s">
        <v>317</v>
      </c>
      <c r="G92" s="7" t="s">
        <v>149</v>
      </c>
      <c r="H92" s="7"/>
      <c r="I92" s="7"/>
      <c r="J92" s="7"/>
      <c r="K92" s="7"/>
      <c r="L92" s="7"/>
    </row>
    <row r="93" customFormat="false" ht="23.85" hidden="false" customHeight="false" outlineLevel="0" collapsed="false">
      <c r="A93" s="6" t="s">
        <v>116</v>
      </c>
      <c r="B93" s="6" t="s">
        <v>117</v>
      </c>
      <c r="C93" s="6" t="s">
        <v>314</v>
      </c>
      <c r="D93" s="6" t="s">
        <v>318</v>
      </c>
      <c r="E93" s="6" t="s">
        <v>319</v>
      </c>
      <c r="F93" s="6" t="s">
        <v>317</v>
      </c>
      <c r="G93" s="7" t="s">
        <v>149</v>
      </c>
      <c r="H93" s="7"/>
      <c r="I93" s="7"/>
      <c r="J93" s="7"/>
      <c r="K93" s="7"/>
      <c r="L93" s="7"/>
    </row>
    <row r="94" customFormat="false" ht="23.85" hidden="false" customHeight="false" outlineLevel="0" collapsed="false">
      <c r="A94" s="6" t="s">
        <v>116</v>
      </c>
      <c r="B94" s="6" t="s">
        <v>117</v>
      </c>
      <c r="C94" s="6" t="s">
        <v>314</v>
      </c>
      <c r="D94" s="6" t="s">
        <v>320</v>
      </c>
      <c r="E94" s="6" t="s">
        <v>321</v>
      </c>
      <c r="F94" s="6" t="s">
        <v>317</v>
      </c>
      <c r="G94" s="7" t="s">
        <v>149</v>
      </c>
      <c r="H94" s="7"/>
      <c r="I94" s="7"/>
      <c r="J94" s="7"/>
      <c r="K94" s="7"/>
      <c r="L94" s="7"/>
    </row>
    <row r="95" customFormat="false" ht="23.85" hidden="false" customHeight="false" outlineLevel="0" collapsed="false">
      <c r="A95" s="6" t="s">
        <v>116</v>
      </c>
      <c r="B95" s="6" t="s">
        <v>117</v>
      </c>
      <c r="C95" s="6" t="s">
        <v>314</v>
      </c>
      <c r="D95" s="6" t="s">
        <v>322</v>
      </c>
      <c r="E95" s="6" t="s">
        <v>323</v>
      </c>
      <c r="F95" s="6" t="s">
        <v>317</v>
      </c>
      <c r="G95" s="7" t="s">
        <v>149</v>
      </c>
      <c r="H95" s="7"/>
      <c r="I95" s="7"/>
      <c r="J95" s="7"/>
      <c r="K95" s="7"/>
      <c r="L95" s="7"/>
    </row>
    <row r="96" customFormat="false" ht="23.85" hidden="false" customHeight="false" outlineLevel="0" collapsed="false">
      <c r="A96" s="6" t="s">
        <v>116</v>
      </c>
      <c r="B96" s="6" t="s">
        <v>117</v>
      </c>
      <c r="C96" s="6" t="s">
        <v>314</v>
      </c>
      <c r="D96" s="6" t="s">
        <v>324</v>
      </c>
      <c r="E96" s="6" t="s">
        <v>325</v>
      </c>
      <c r="F96" s="6" t="s">
        <v>317</v>
      </c>
      <c r="G96" s="7" t="s">
        <v>149</v>
      </c>
      <c r="H96" s="7"/>
      <c r="I96" s="7"/>
      <c r="J96" s="7"/>
      <c r="K96" s="7"/>
      <c r="L96" s="7"/>
    </row>
    <row r="97" customFormat="false" ht="23.85" hidden="false" customHeight="false" outlineLevel="0" collapsed="false">
      <c r="A97" s="6" t="s">
        <v>116</v>
      </c>
      <c r="B97" s="6" t="s">
        <v>117</v>
      </c>
      <c r="C97" s="6" t="s">
        <v>314</v>
      </c>
      <c r="D97" s="6" t="s">
        <v>326</v>
      </c>
      <c r="E97" s="6" t="s">
        <v>327</v>
      </c>
      <c r="F97" s="6" t="s">
        <v>317</v>
      </c>
      <c r="G97" s="7" t="s">
        <v>149</v>
      </c>
      <c r="H97" s="7"/>
      <c r="I97" s="7"/>
      <c r="J97" s="7"/>
      <c r="K97" s="7"/>
      <c r="L97" s="7"/>
    </row>
    <row r="98" customFormat="false" ht="23.85" hidden="false" customHeight="false" outlineLevel="0" collapsed="false">
      <c r="A98" s="6" t="s">
        <v>116</v>
      </c>
      <c r="B98" s="6" t="s">
        <v>117</v>
      </c>
      <c r="C98" s="6" t="s">
        <v>314</v>
      </c>
      <c r="D98" s="6" t="s">
        <v>328</v>
      </c>
      <c r="E98" s="6" t="s">
        <v>329</v>
      </c>
      <c r="F98" s="6" t="s">
        <v>317</v>
      </c>
      <c r="G98" s="7" t="s">
        <v>149</v>
      </c>
      <c r="H98" s="7"/>
      <c r="I98" s="7"/>
      <c r="J98" s="7"/>
      <c r="K98" s="7"/>
      <c r="L98" s="7"/>
    </row>
    <row r="99" customFormat="false" ht="23.85" hidden="false" customHeight="false" outlineLevel="0" collapsed="false">
      <c r="A99" s="6" t="s">
        <v>116</v>
      </c>
      <c r="B99" s="6" t="s">
        <v>117</v>
      </c>
      <c r="C99" s="6" t="s">
        <v>314</v>
      </c>
      <c r="D99" s="6" t="s">
        <v>330</v>
      </c>
      <c r="E99" s="6" t="s">
        <v>331</v>
      </c>
      <c r="F99" s="6" t="s">
        <v>317</v>
      </c>
      <c r="G99" s="7" t="s">
        <v>149</v>
      </c>
      <c r="H99" s="7"/>
      <c r="I99" s="7"/>
      <c r="J99" s="7"/>
      <c r="K99" s="7"/>
      <c r="L99" s="7"/>
    </row>
    <row r="100" customFormat="false" ht="23.85" hidden="false" customHeight="false" outlineLevel="0" collapsed="false">
      <c r="A100" s="6" t="s">
        <v>116</v>
      </c>
      <c r="B100" s="6" t="s">
        <v>117</v>
      </c>
      <c r="C100" s="6" t="s">
        <v>314</v>
      </c>
      <c r="D100" s="6" t="s">
        <v>332</v>
      </c>
      <c r="E100" s="6" t="s">
        <v>333</v>
      </c>
      <c r="F100" s="6" t="s">
        <v>317</v>
      </c>
      <c r="G100" s="7" t="s">
        <v>149</v>
      </c>
      <c r="H100" s="7"/>
      <c r="I100" s="7"/>
      <c r="J100" s="7"/>
      <c r="K100" s="7"/>
      <c r="L100" s="7"/>
    </row>
    <row r="101" customFormat="false" ht="23.85" hidden="false" customHeight="false" outlineLevel="0" collapsed="false">
      <c r="A101" s="6" t="s">
        <v>116</v>
      </c>
      <c r="B101" s="6" t="s">
        <v>117</v>
      </c>
      <c r="C101" s="6" t="s">
        <v>314</v>
      </c>
      <c r="D101" s="6" t="s">
        <v>334</v>
      </c>
      <c r="E101" s="6" t="s">
        <v>335</v>
      </c>
      <c r="F101" s="6" t="s">
        <v>317</v>
      </c>
      <c r="G101" s="7" t="s">
        <v>149</v>
      </c>
      <c r="H101" s="7"/>
      <c r="I101" s="7"/>
      <c r="J101" s="7"/>
      <c r="K101" s="7"/>
      <c r="L101" s="7"/>
    </row>
  </sheetData>
  <mergeCells count="16">
    <mergeCell ref="A1:L1"/>
    <mergeCell ref="A2:L2"/>
    <mergeCell ref="A5:L5"/>
    <mergeCell ref="A6:L6"/>
    <mergeCell ref="A18:L18"/>
    <mergeCell ref="A19:L19"/>
    <mergeCell ref="A32:L32"/>
    <mergeCell ref="A33:L33"/>
    <mergeCell ref="A50:L50"/>
    <mergeCell ref="A51:L51"/>
    <mergeCell ref="A64:L64"/>
    <mergeCell ref="A65:L65"/>
    <mergeCell ref="A76:L76"/>
    <mergeCell ref="A77:L77"/>
    <mergeCell ref="A90:L90"/>
    <mergeCell ref="A91:L91"/>
  </mergeCells>
  <dataValidations count="1">
    <dataValidation allowBlank="true" errorStyle="stop" operator="between" showDropDown="false" showErrorMessage="false" showInputMessage="false" sqref="G5:G101" type="list">
      <formula1>"Not started,In progress,Submitted for review,Complete,Not applicable,Exception approved"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4A"/>
    <pageSetUpPr fitToPage="false"/>
  </sheetPr>
  <dimension ref="A1:L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8"/>
    <col collapsed="false" customWidth="true" hidden="false" outlineLevel="0" max="5" min="5" style="0" width="62"/>
    <col collapsed="false" customWidth="true" hidden="false" outlineLevel="0" max="6" min="6" style="0" width="34"/>
    <col collapsed="false" customWidth="true" hidden="false" outlineLevel="0" max="7" min="7" style="0" width="20"/>
    <col collapsed="false" customWidth="true" hidden="false" outlineLevel="0" max="8" min="8" style="0" width="24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2" min="11" style="0" width="34"/>
  </cols>
  <sheetData>
    <row r="1" customFormat="false" ht="17.35" hidden="false" customHeight="false" outlineLevel="0" collapsed="false">
      <c r="A1" s="1" t="s">
        <v>336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5.5" hidden="false" customHeight="true" outlineLevel="0" collapsed="false">
      <c r="A2" s="2" t="s">
        <v>337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5" t="s">
        <v>13</v>
      </c>
      <c r="B4" s="5" t="s">
        <v>139</v>
      </c>
      <c r="C4" s="5" t="s">
        <v>140</v>
      </c>
      <c r="D4" s="5" t="s">
        <v>141</v>
      </c>
      <c r="E4" s="5" t="s">
        <v>16</v>
      </c>
      <c r="F4" s="5" t="s">
        <v>142</v>
      </c>
      <c r="G4" s="5" t="s">
        <v>18</v>
      </c>
      <c r="H4" s="5" t="s">
        <v>21</v>
      </c>
      <c r="I4" s="5" t="s">
        <v>24</v>
      </c>
      <c r="J4" s="5" t="s">
        <v>27</v>
      </c>
      <c r="K4" s="5" t="s">
        <v>30</v>
      </c>
      <c r="L4" s="5" t="s">
        <v>33</v>
      </c>
    </row>
    <row r="5" customFormat="false" ht="15" hidden="false" customHeight="false" outlineLevel="0" collapsed="false">
      <c r="A5" s="13" t="s">
        <v>338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customFormat="false" ht="42" hidden="false" customHeight="true" outlineLevel="0" collapsed="false">
      <c r="A6" s="14" t="s">
        <v>339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customFormat="false" ht="15" hidden="false" customHeight="false" outlineLevel="0" collapsed="false">
      <c r="A7" s="6" t="s">
        <v>121</v>
      </c>
      <c r="B7" s="6" t="s">
        <v>122</v>
      </c>
      <c r="C7" s="6" t="s">
        <v>340</v>
      </c>
      <c r="D7" s="6" t="s">
        <v>341</v>
      </c>
      <c r="E7" s="6" t="s">
        <v>342</v>
      </c>
      <c r="F7" s="6" t="s">
        <v>343</v>
      </c>
      <c r="G7" s="7" t="s">
        <v>149</v>
      </c>
      <c r="H7" s="7"/>
      <c r="I7" s="7"/>
      <c r="J7" s="7"/>
      <c r="K7" s="7"/>
      <c r="L7" s="7"/>
    </row>
    <row r="8" customFormat="false" ht="23.85" hidden="false" customHeight="false" outlineLevel="0" collapsed="false">
      <c r="A8" s="6" t="s">
        <v>121</v>
      </c>
      <c r="B8" s="6" t="s">
        <v>122</v>
      </c>
      <c r="C8" s="6" t="s">
        <v>340</v>
      </c>
      <c r="D8" s="6" t="s">
        <v>344</v>
      </c>
      <c r="E8" s="6" t="s">
        <v>345</v>
      </c>
      <c r="F8" s="6" t="s">
        <v>343</v>
      </c>
      <c r="G8" s="7" t="s">
        <v>149</v>
      </c>
      <c r="H8" s="7"/>
      <c r="I8" s="7"/>
      <c r="J8" s="7"/>
      <c r="K8" s="7"/>
      <c r="L8" s="7"/>
    </row>
    <row r="9" customFormat="false" ht="15" hidden="false" customHeight="false" outlineLevel="0" collapsed="false">
      <c r="A9" s="6" t="s">
        <v>121</v>
      </c>
      <c r="B9" s="6" t="s">
        <v>122</v>
      </c>
      <c r="C9" s="6" t="s">
        <v>340</v>
      </c>
      <c r="D9" s="6" t="s">
        <v>346</v>
      </c>
      <c r="E9" s="6" t="s">
        <v>347</v>
      </c>
      <c r="F9" s="6" t="s">
        <v>343</v>
      </c>
      <c r="G9" s="7" t="s">
        <v>149</v>
      </c>
      <c r="H9" s="7"/>
      <c r="I9" s="7"/>
      <c r="J9" s="7"/>
      <c r="K9" s="7"/>
      <c r="L9" s="7"/>
    </row>
    <row r="10" customFormat="false" ht="15" hidden="false" customHeight="false" outlineLevel="0" collapsed="false">
      <c r="A10" s="6" t="s">
        <v>121</v>
      </c>
      <c r="B10" s="6" t="s">
        <v>122</v>
      </c>
      <c r="C10" s="6" t="s">
        <v>340</v>
      </c>
      <c r="D10" s="6" t="s">
        <v>348</v>
      </c>
      <c r="E10" s="6" t="s">
        <v>349</v>
      </c>
      <c r="F10" s="6" t="s">
        <v>343</v>
      </c>
      <c r="G10" s="7" t="s">
        <v>149</v>
      </c>
      <c r="H10" s="7"/>
      <c r="I10" s="7"/>
      <c r="J10" s="7"/>
      <c r="K10" s="7"/>
      <c r="L10" s="7"/>
    </row>
    <row r="11" customFormat="false" ht="23.85" hidden="false" customHeight="false" outlineLevel="0" collapsed="false">
      <c r="A11" s="6" t="s">
        <v>121</v>
      </c>
      <c r="B11" s="6" t="s">
        <v>122</v>
      </c>
      <c r="C11" s="6" t="s">
        <v>340</v>
      </c>
      <c r="D11" s="6" t="s">
        <v>350</v>
      </c>
      <c r="E11" s="6" t="s">
        <v>351</v>
      </c>
      <c r="F11" s="6" t="s">
        <v>343</v>
      </c>
      <c r="G11" s="7" t="s">
        <v>149</v>
      </c>
      <c r="H11" s="7"/>
      <c r="I11" s="7"/>
      <c r="J11" s="7"/>
      <c r="K11" s="7"/>
      <c r="L11" s="7"/>
    </row>
    <row r="12" customFormat="false" ht="15" hidden="false" customHeight="false" outlineLevel="0" collapsed="false">
      <c r="A12" s="6" t="s">
        <v>121</v>
      </c>
      <c r="B12" s="6" t="s">
        <v>122</v>
      </c>
      <c r="C12" s="6" t="s">
        <v>340</v>
      </c>
      <c r="D12" s="6" t="s">
        <v>352</v>
      </c>
      <c r="E12" s="6" t="s">
        <v>353</v>
      </c>
      <c r="F12" s="6" t="s">
        <v>343</v>
      </c>
      <c r="G12" s="7" t="s">
        <v>149</v>
      </c>
      <c r="H12" s="7"/>
      <c r="I12" s="7"/>
      <c r="J12" s="7"/>
      <c r="K12" s="7"/>
      <c r="L12" s="7"/>
    </row>
    <row r="13" customFormat="false" ht="15" hidden="false" customHeight="false" outlineLevel="0" collapsed="false">
      <c r="A13" s="6" t="s">
        <v>121</v>
      </c>
      <c r="B13" s="6" t="s">
        <v>122</v>
      </c>
      <c r="C13" s="6" t="s">
        <v>340</v>
      </c>
      <c r="D13" s="6" t="s">
        <v>354</v>
      </c>
      <c r="E13" s="6" t="s">
        <v>355</v>
      </c>
      <c r="F13" s="6" t="s">
        <v>343</v>
      </c>
      <c r="G13" s="7" t="s">
        <v>149</v>
      </c>
      <c r="H13" s="7"/>
      <c r="I13" s="7"/>
      <c r="J13" s="7"/>
      <c r="K13" s="7"/>
      <c r="L13" s="7"/>
    </row>
    <row r="14" customFormat="false" ht="23.85" hidden="false" customHeight="false" outlineLevel="0" collapsed="false">
      <c r="A14" s="6" t="s">
        <v>121</v>
      </c>
      <c r="B14" s="6" t="s">
        <v>122</v>
      </c>
      <c r="C14" s="6" t="s">
        <v>340</v>
      </c>
      <c r="D14" s="6" t="s">
        <v>356</v>
      </c>
      <c r="E14" s="6" t="s">
        <v>357</v>
      </c>
      <c r="F14" s="6" t="s">
        <v>343</v>
      </c>
      <c r="G14" s="7" t="s">
        <v>149</v>
      </c>
      <c r="H14" s="7"/>
      <c r="I14" s="7"/>
      <c r="J14" s="7"/>
      <c r="K14" s="7"/>
      <c r="L14" s="7"/>
    </row>
    <row r="15" customFormat="false" ht="15" hidden="false" customHeight="false" outlineLevel="0" collapsed="false">
      <c r="A15" s="13" t="s">
        <v>358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</row>
    <row r="16" customFormat="false" ht="42" hidden="false" customHeight="true" outlineLevel="0" collapsed="false">
      <c r="A16" s="14" t="s">
        <v>359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</row>
    <row r="17" customFormat="false" ht="23.85" hidden="false" customHeight="false" outlineLevel="0" collapsed="false">
      <c r="A17" s="6" t="s">
        <v>123</v>
      </c>
      <c r="B17" s="6" t="s">
        <v>124</v>
      </c>
      <c r="C17" s="6" t="s">
        <v>360</v>
      </c>
      <c r="D17" s="6" t="s">
        <v>361</v>
      </c>
      <c r="E17" s="6" t="s">
        <v>362</v>
      </c>
      <c r="F17" s="6" t="s">
        <v>363</v>
      </c>
      <c r="G17" s="7" t="s">
        <v>149</v>
      </c>
      <c r="H17" s="7"/>
      <c r="I17" s="7"/>
      <c r="J17" s="7"/>
      <c r="K17" s="7"/>
      <c r="L17" s="7"/>
    </row>
    <row r="18" customFormat="false" ht="23.85" hidden="false" customHeight="false" outlineLevel="0" collapsed="false">
      <c r="A18" s="6" t="s">
        <v>123</v>
      </c>
      <c r="B18" s="6" t="s">
        <v>124</v>
      </c>
      <c r="C18" s="6" t="s">
        <v>360</v>
      </c>
      <c r="D18" s="6" t="s">
        <v>364</v>
      </c>
      <c r="E18" s="6" t="s">
        <v>365</v>
      </c>
      <c r="F18" s="6" t="s">
        <v>363</v>
      </c>
      <c r="G18" s="7" t="s">
        <v>149</v>
      </c>
      <c r="H18" s="7"/>
      <c r="I18" s="7"/>
      <c r="J18" s="7"/>
      <c r="K18" s="7"/>
      <c r="L18" s="7"/>
    </row>
    <row r="19" customFormat="false" ht="35.05" hidden="false" customHeight="false" outlineLevel="0" collapsed="false">
      <c r="A19" s="6" t="s">
        <v>123</v>
      </c>
      <c r="B19" s="6" t="s">
        <v>124</v>
      </c>
      <c r="C19" s="6" t="s">
        <v>360</v>
      </c>
      <c r="D19" s="6" t="s">
        <v>366</v>
      </c>
      <c r="E19" s="6" t="s">
        <v>367</v>
      </c>
      <c r="F19" s="6" t="s">
        <v>363</v>
      </c>
      <c r="G19" s="7" t="s">
        <v>149</v>
      </c>
      <c r="H19" s="7"/>
      <c r="I19" s="7"/>
      <c r="J19" s="7"/>
      <c r="K19" s="7"/>
      <c r="L19" s="7"/>
    </row>
    <row r="20" customFormat="false" ht="23.85" hidden="false" customHeight="false" outlineLevel="0" collapsed="false">
      <c r="A20" s="6" t="s">
        <v>123</v>
      </c>
      <c r="B20" s="6" t="s">
        <v>124</v>
      </c>
      <c r="C20" s="6" t="s">
        <v>360</v>
      </c>
      <c r="D20" s="6" t="s">
        <v>368</v>
      </c>
      <c r="E20" s="6" t="s">
        <v>369</v>
      </c>
      <c r="F20" s="6" t="s">
        <v>363</v>
      </c>
      <c r="G20" s="7" t="s">
        <v>149</v>
      </c>
      <c r="H20" s="7"/>
      <c r="I20" s="7"/>
      <c r="J20" s="7"/>
      <c r="K20" s="7"/>
      <c r="L20" s="7"/>
    </row>
    <row r="21" customFormat="false" ht="23.85" hidden="false" customHeight="false" outlineLevel="0" collapsed="false">
      <c r="A21" s="6" t="s">
        <v>123</v>
      </c>
      <c r="B21" s="6" t="s">
        <v>124</v>
      </c>
      <c r="C21" s="6" t="s">
        <v>360</v>
      </c>
      <c r="D21" s="6" t="s">
        <v>370</v>
      </c>
      <c r="E21" s="6" t="s">
        <v>371</v>
      </c>
      <c r="F21" s="6" t="s">
        <v>363</v>
      </c>
      <c r="G21" s="7" t="s">
        <v>149</v>
      </c>
      <c r="H21" s="7"/>
      <c r="I21" s="7"/>
      <c r="J21" s="7"/>
      <c r="K21" s="7"/>
      <c r="L21" s="7"/>
    </row>
    <row r="22" customFormat="false" ht="23.85" hidden="false" customHeight="false" outlineLevel="0" collapsed="false">
      <c r="A22" s="6" t="s">
        <v>123</v>
      </c>
      <c r="B22" s="6" t="s">
        <v>124</v>
      </c>
      <c r="C22" s="6" t="s">
        <v>360</v>
      </c>
      <c r="D22" s="6" t="s">
        <v>372</v>
      </c>
      <c r="E22" s="6" t="s">
        <v>373</v>
      </c>
      <c r="F22" s="6" t="s">
        <v>363</v>
      </c>
      <c r="G22" s="7" t="s">
        <v>149</v>
      </c>
      <c r="H22" s="7"/>
      <c r="I22" s="7"/>
      <c r="J22" s="7"/>
      <c r="K22" s="7"/>
      <c r="L22" s="7"/>
    </row>
    <row r="23" customFormat="false" ht="23.85" hidden="false" customHeight="false" outlineLevel="0" collapsed="false">
      <c r="A23" s="6" t="s">
        <v>123</v>
      </c>
      <c r="B23" s="6" t="s">
        <v>124</v>
      </c>
      <c r="C23" s="6" t="s">
        <v>360</v>
      </c>
      <c r="D23" s="6" t="s">
        <v>374</v>
      </c>
      <c r="E23" s="6" t="s">
        <v>375</v>
      </c>
      <c r="F23" s="6" t="s">
        <v>363</v>
      </c>
      <c r="G23" s="7" t="s">
        <v>149</v>
      </c>
      <c r="H23" s="7"/>
      <c r="I23" s="7"/>
      <c r="J23" s="7"/>
      <c r="K23" s="7"/>
      <c r="L23" s="7"/>
    </row>
    <row r="24" customFormat="false" ht="23.85" hidden="false" customHeight="false" outlineLevel="0" collapsed="false">
      <c r="A24" s="6" t="s">
        <v>123</v>
      </c>
      <c r="B24" s="6" t="s">
        <v>124</v>
      </c>
      <c r="C24" s="6" t="s">
        <v>360</v>
      </c>
      <c r="D24" s="6" t="s">
        <v>376</v>
      </c>
      <c r="E24" s="6" t="s">
        <v>377</v>
      </c>
      <c r="F24" s="6" t="s">
        <v>363</v>
      </c>
      <c r="G24" s="7" t="s">
        <v>149</v>
      </c>
      <c r="H24" s="7"/>
      <c r="I24" s="7"/>
      <c r="J24" s="7"/>
      <c r="K24" s="7"/>
      <c r="L24" s="7"/>
    </row>
    <row r="25" customFormat="false" ht="23.85" hidden="false" customHeight="false" outlineLevel="0" collapsed="false">
      <c r="A25" s="6" t="s">
        <v>123</v>
      </c>
      <c r="B25" s="6" t="s">
        <v>124</v>
      </c>
      <c r="C25" s="6" t="s">
        <v>360</v>
      </c>
      <c r="D25" s="6" t="s">
        <v>378</v>
      </c>
      <c r="E25" s="6" t="s">
        <v>379</v>
      </c>
      <c r="F25" s="6" t="s">
        <v>363</v>
      </c>
      <c r="G25" s="7" t="s">
        <v>149</v>
      </c>
      <c r="H25" s="7"/>
      <c r="I25" s="7"/>
      <c r="J25" s="7"/>
      <c r="K25" s="7"/>
      <c r="L25" s="7"/>
    </row>
    <row r="26" customFormat="false" ht="23.85" hidden="false" customHeight="false" outlineLevel="0" collapsed="false">
      <c r="A26" s="6" t="s">
        <v>123</v>
      </c>
      <c r="B26" s="6" t="s">
        <v>124</v>
      </c>
      <c r="C26" s="6" t="s">
        <v>360</v>
      </c>
      <c r="D26" s="6" t="s">
        <v>380</v>
      </c>
      <c r="E26" s="6" t="s">
        <v>381</v>
      </c>
      <c r="F26" s="6" t="s">
        <v>363</v>
      </c>
      <c r="G26" s="7" t="s">
        <v>149</v>
      </c>
      <c r="H26" s="7"/>
      <c r="I26" s="7"/>
      <c r="J26" s="7"/>
      <c r="K26" s="7"/>
      <c r="L26" s="7"/>
    </row>
    <row r="27" customFormat="false" ht="23.85" hidden="false" customHeight="false" outlineLevel="0" collapsed="false">
      <c r="A27" s="6" t="s">
        <v>123</v>
      </c>
      <c r="B27" s="6" t="s">
        <v>124</v>
      </c>
      <c r="C27" s="6" t="s">
        <v>360</v>
      </c>
      <c r="D27" s="6" t="s">
        <v>382</v>
      </c>
      <c r="E27" s="6" t="s">
        <v>383</v>
      </c>
      <c r="F27" s="6" t="s">
        <v>363</v>
      </c>
      <c r="G27" s="7" t="s">
        <v>149</v>
      </c>
      <c r="H27" s="7"/>
      <c r="I27" s="7"/>
      <c r="J27" s="7"/>
      <c r="K27" s="7"/>
      <c r="L27" s="7"/>
    </row>
    <row r="28" customFormat="false" ht="23.85" hidden="false" customHeight="false" outlineLevel="0" collapsed="false">
      <c r="A28" s="6" t="s">
        <v>123</v>
      </c>
      <c r="B28" s="6" t="s">
        <v>124</v>
      </c>
      <c r="C28" s="6" t="s">
        <v>360</v>
      </c>
      <c r="D28" s="6" t="s">
        <v>384</v>
      </c>
      <c r="E28" s="6" t="s">
        <v>385</v>
      </c>
      <c r="F28" s="6" t="s">
        <v>363</v>
      </c>
      <c r="G28" s="7" t="s">
        <v>149</v>
      </c>
      <c r="H28" s="7"/>
      <c r="I28" s="7"/>
      <c r="J28" s="7"/>
      <c r="K28" s="7"/>
      <c r="L28" s="7"/>
    </row>
    <row r="29" customFormat="false" ht="15" hidden="false" customHeight="false" outlineLevel="0" collapsed="false">
      <c r="A29" s="13" t="s">
        <v>386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customFormat="false" ht="42" hidden="false" customHeight="true" outlineLevel="0" collapsed="false">
      <c r="A30" s="14" t="s">
        <v>387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 customFormat="false" ht="23.85" hidden="false" customHeight="false" outlineLevel="0" collapsed="false">
      <c r="A31" s="6" t="s">
        <v>14</v>
      </c>
      <c r="B31" s="6" t="s">
        <v>125</v>
      </c>
      <c r="C31" s="6" t="s">
        <v>388</v>
      </c>
      <c r="D31" s="6" t="s">
        <v>389</v>
      </c>
      <c r="E31" s="6" t="s">
        <v>390</v>
      </c>
      <c r="F31" s="6" t="s">
        <v>391</v>
      </c>
      <c r="G31" s="7" t="s">
        <v>149</v>
      </c>
      <c r="H31" s="7"/>
      <c r="I31" s="7"/>
      <c r="J31" s="7"/>
      <c r="K31" s="7"/>
      <c r="L31" s="7"/>
    </row>
    <row r="32" customFormat="false" ht="23.85" hidden="false" customHeight="false" outlineLevel="0" collapsed="false">
      <c r="A32" s="6" t="s">
        <v>14</v>
      </c>
      <c r="B32" s="6" t="s">
        <v>125</v>
      </c>
      <c r="C32" s="6" t="s">
        <v>388</v>
      </c>
      <c r="D32" s="6" t="s">
        <v>392</v>
      </c>
      <c r="E32" s="6" t="s">
        <v>393</v>
      </c>
      <c r="F32" s="6" t="s">
        <v>391</v>
      </c>
      <c r="G32" s="7" t="s">
        <v>149</v>
      </c>
      <c r="H32" s="7"/>
      <c r="I32" s="7"/>
      <c r="J32" s="7"/>
      <c r="K32" s="7"/>
      <c r="L32" s="7"/>
    </row>
    <row r="33" customFormat="false" ht="23.85" hidden="false" customHeight="false" outlineLevel="0" collapsed="false">
      <c r="A33" s="6" t="s">
        <v>14</v>
      </c>
      <c r="B33" s="6" t="s">
        <v>125</v>
      </c>
      <c r="C33" s="6" t="s">
        <v>388</v>
      </c>
      <c r="D33" s="6" t="s">
        <v>394</v>
      </c>
      <c r="E33" s="6" t="s">
        <v>395</v>
      </c>
      <c r="F33" s="6" t="s">
        <v>391</v>
      </c>
      <c r="G33" s="7" t="s">
        <v>149</v>
      </c>
      <c r="H33" s="7"/>
      <c r="I33" s="7"/>
      <c r="J33" s="7"/>
      <c r="K33" s="7"/>
      <c r="L33" s="7"/>
    </row>
    <row r="34" customFormat="false" ht="23.85" hidden="false" customHeight="false" outlineLevel="0" collapsed="false">
      <c r="A34" s="6" t="s">
        <v>14</v>
      </c>
      <c r="B34" s="6" t="s">
        <v>125</v>
      </c>
      <c r="C34" s="6" t="s">
        <v>388</v>
      </c>
      <c r="D34" s="6" t="s">
        <v>396</v>
      </c>
      <c r="E34" s="6" t="s">
        <v>397</v>
      </c>
      <c r="F34" s="6" t="s">
        <v>391</v>
      </c>
      <c r="G34" s="7" t="s">
        <v>149</v>
      </c>
      <c r="H34" s="7"/>
      <c r="I34" s="7"/>
      <c r="J34" s="7"/>
      <c r="K34" s="7"/>
      <c r="L34" s="7"/>
    </row>
    <row r="35" customFormat="false" ht="23.85" hidden="false" customHeight="false" outlineLevel="0" collapsed="false">
      <c r="A35" s="6" t="s">
        <v>14</v>
      </c>
      <c r="B35" s="6" t="s">
        <v>125</v>
      </c>
      <c r="C35" s="6" t="s">
        <v>388</v>
      </c>
      <c r="D35" s="6" t="s">
        <v>398</v>
      </c>
      <c r="E35" s="6" t="s">
        <v>399</v>
      </c>
      <c r="F35" s="6" t="s">
        <v>391</v>
      </c>
      <c r="G35" s="7" t="s">
        <v>149</v>
      </c>
      <c r="H35" s="7"/>
      <c r="I35" s="7"/>
      <c r="J35" s="7"/>
      <c r="K35" s="7"/>
      <c r="L35" s="7"/>
    </row>
    <row r="36" customFormat="false" ht="23.85" hidden="false" customHeight="false" outlineLevel="0" collapsed="false">
      <c r="A36" s="6" t="s">
        <v>14</v>
      </c>
      <c r="B36" s="6" t="s">
        <v>125</v>
      </c>
      <c r="C36" s="6" t="s">
        <v>388</v>
      </c>
      <c r="D36" s="6" t="s">
        <v>400</v>
      </c>
      <c r="E36" s="6" t="s">
        <v>17</v>
      </c>
      <c r="F36" s="6" t="s">
        <v>391</v>
      </c>
      <c r="G36" s="7" t="s">
        <v>149</v>
      </c>
      <c r="H36" s="7"/>
      <c r="I36" s="7"/>
      <c r="J36" s="7"/>
      <c r="K36" s="7"/>
      <c r="L36" s="7"/>
    </row>
    <row r="37" customFormat="false" ht="23.85" hidden="false" customHeight="false" outlineLevel="0" collapsed="false">
      <c r="A37" s="6" t="s">
        <v>14</v>
      </c>
      <c r="B37" s="6" t="s">
        <v>125</v>
      </c>
      <c r="C37" s="6" t="s">
        <v>388</v>
      </c>
      <c r="D37" s="6" t="s">
        <v>401</v>
      </c>
      <c r="E37" s="6" t="s">
        <v>402</v>
      </c>
      <c r="F37" s="6" t="s">
        <v>391</v>
      </c>
      <c r="G37" s="7" t="s">
        <v>149</v>
      </c>
      <c r="H37" s="7"/>
      <c r="I37" s="7"/>
      <c r="J37" s="7"/>
      <c r="K37" s="7"/>
      <c r="L37" s="7"/>
    </row>
    <row r="38" customFormat="false" ht="23.85" hidden="false" customHeight="false" outlineLevel="0" collapsed="false">
      <c r="A38" s="6" t="s">
        <v>14</v>
      </c>
      <c r="B38" s="6" t="s">
        <v>125</v>
      </c>
      <c r="C38" s="6" t="s">
        <v>388</v>
      </c>
      <c r="D38" s="6" t="s">
        <v>403</v>
      </c>
      <c r="E38" s="6" t="s">
        <v>404</v>
      </c>
      <c r="F38" s="6" t="s">
        <v>391</v>
      </c>
      <c r="G38" s="7" t="s">
        <v>149</v>
      </c>
      <c r="H38" s="7"/>
      <c r="I38" s="7"/>
      <c r="J38" s="7"/>
      <c r="K38" s="7"/>
      <c r="L38" s="7"/>
    </row>
    <row r="39" customFormat="false" ht="23.85" hidden="false" customHeight="false" outlineLevel="0" collapsed="false">
      <c r="A39" s="6" t="s">
        <v>14</v>
      </c>
      <c r="B39" s="6" t="s">
        <v>125</v>
      </c>
      <c r="C39" s="6" t="s">
        <v>388</v>
      </c>
      <c r="D39" s="6" t="s">
        <v>405</v>
      </c>
      <c r="E39" s="6" t="s">
        <v>406</v>
      </c>
      <c r="F39" s="6" t="s">
        <v>391</v>
      </c>
      <c r="G39" s="7" t="s">
        <v>149</v>
      </c>
      <c r="H39" s="7"/>
      <c r="I39" s="7"/>
      <c r="J39" s="7"/>
      <c r="K39" s="7"/>
      <c r="L39" s="7"/>
    </row>
    <row r="40" customFormat="false" ht="23.85" hidden="false" customHeight="false" outlineLevel="0" collapsed="false">
      <c r="A40" s="6" t="s">
        <v>14</v>
      </c>
      <c r="B40" s="6" t="s">
        <v>125</v>
      </c>
      <c r="C40" s="6" t="s">
        <v>388</v>
      </c>
      <c r="D40" s="6" t="s">
        <v>407</v>
      </c>
      <c r="E40" s="6" t="s">
        <v>408</v>
      </c>
      <c r="F40" s="6" t="s">
        <v>391</v>
      </c>
      <c r="G40" s="7" t="s">
        <v>149</v>
      </c>
      <c r="H40" s="7"/>
      <c r="I40" s="7"/>
      <c r="J40" s="7"/>
      <c r="K40" s="7"/>
      <c r="L40" s="7"/>
    </row>
    <row r="41" customFormat="false" ht="23.85" hidden="false" customHeight="false" outlineLevel="0" collapsed="false">
      <c r="A41" s="6" t="s">
        <v>14</v>
      </c>
      <c r="B41" s="6" t="s">
        <v>125</v>
      </c>
      <c r="C41" s="6" t="s">
        <v>388</v>
      </c>
      <c r="D41" s="6" t="s">
        <v>409</v>
      </c>
      <c r="E41" s="6" t="s">
        <v>410</v>
      </c>
      <c r="F41" s="6" t="s">
        <v>391</v>
      </c>
      <c r="G41" s="7" t="s">
        <v>149</v>
      </c>
      <c r="H41" s="7"/>
      <c r="I41" s="7"/>
      <c r="J41" s="7"/>
      <c r="K41" s="7"/>
      <c r="L41" s="7"/>
    </row>
    <row r="42" customFormat="false" ht="15" hidden="false" customHeight="false" outlineLevel="0" collapsed="false">
      <c r="A42" s="13" t="s">
        <v>411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</row>
    <row r="43" customFormat="false" ht="42" hidden="false" customHeight="true" outlineLevel="0" collapsed="false">
      <c r="A43" s="14" t="s">
        <v>412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</row>
    <row r="44" customFormat="false" ht="15" hidden="false" customHeight="false" outlineLevel="0" collapsed="false">
      <c r="A44" s="6" t="s">
        <v>126</v>
      </c>
      <c r="B44" s="6" t="s">
        <v>127</v>
      </c>
      <c r="C44" s="6" t="s">
        <v>413</v>
      </c>
      <c r="D44" s="6" t="s">
        <v>414</v>
      </c>
      <c r="E44" s="6" t="s">
        <v>415</v>
      </c>
      <c r="F44" s="6" t="s">
        <v>416</v>
      </c>
      <c r="G44" s="7" t="s">
        <v>149</v>
      </c>
      <c r="H44" s="7"/>
      <c r="I44" s="7"/>
      <c r="J44" s="7"/>
      <c r="K44" s="7"/>
      <c r="L44" s="7"/>
    </row>
    <row r="45" customFormat="false" ht="15" hidden="false" customHeight="false" outlineLevel="0" collapsed="false">
      <c r="A45" s="6" t="s">
        <v>126</v>
      </c>
      <c r="B45" s="6" t="s">
        <v>127</v>
      </c>
      <c r="C45" s="6" t="s">
        <v>413</v>
      </c>
      <c r="D45" s="6" t="s">
        <v>417</v>
      </c>
      <c r="E45" s="6" t="s">
        <v>418</v>
      </c>
      <c r="F45" s="6" t="s">
        <v>416</v>
      </c>
      <c r="G45" s="7" t="s">
        <v>149</v>
      </c>
      <c r="H45" s="7"/>
      <c r="I45" s="7"/>
      <c r="J45" s="7"/>
      <c r="K45" s="7"/>
      <c r="L45" s="7"/>
    </row>
    <row r="46" customFormat="false" ht="23.85" hidden="false" customHeight="false" outlineLevel="0" collapsed="false">
      <c r="A46" s="6" t="s">
        <v>126</v>
      </c>
      <c r="B46" s="6" t="s">
        <v>127</v>
      </c>
      <c r="C46" s="6" t="s">
        <v>413</v>
      </c>
      <c r="D46" s="6" t="s">
        <v>419</v>
      </c>
      <c r="E46" s="6" t="s">
        <v>420</v>
      </c>
      <c r="F46" s="6" t="s">
        <v>416</v>
      </c>
      <c r="G46" s="7" t="s">
        <v>149</v>
      </c>
      <c r="H46" s="7"/>
      <c r="I46" s="7"/>
      <c r="J46" s="7"/>
      <c r="K46" s="7"/>
      <c r="L46" s="7"/>
    </row>
    <row r="47" customFormat="false" ht="23.85" hidden="false" customHeight="false" outlineLevel="0" collapsed="false">
      <c r="A47" s="6" t="s">
        <v>126</v>
      </c>
      <c r="B47" s="6" t="s">
        <v>127</v>
      </c>
      <c r="C47" s="6" t="s">
        <v>413</v>
      </c>
      <c r="D47" s="6" t="s">
        <v>421</v>
      </c>
      <c r="E47" s="6" t="s">
        <v>422</v>
      </c>
      <c r="F47" s="6" t="s">
        <v>416</v>
      </c>
      <c r="G47" s="7" t="s">
        <v>149</v>
      </c>
      <c r="H47" s="7"/>
      <c r="I47" s="7"/>
      <c r="J47" s="7"/>
      <c r="K47" s="7"/>
      <c r="L47" s="7"/>
    </row>
    <row r="48" customFormat="false" ht="23.85" hidden="false" customHeight="false" outlineLevel="0" collapsed="false">
      <c r="A48" s="6" t="s">
        <v>126</v>
      </c>
      <c r="B48" s="6" t="s">
        <v>127</v>
      </c>
      <c r="C48" s="6" t="s">
        <v>413</v>
      </c>
      <c r="D48" s="6" t="s">
        <v>423</v>
      </c>
      <c r="E48" s="6" t="s">
        <v>424</v>
      </c>
      <c r="F48" s="6" t="s">
        <v>416</v>
      </c>
      <c r="G48" s="7" t="s">
        <v>149</v>
      </c>
      <c r="H48" s="7"/>
      <c r="I48" s="7"/>
      <c r="J48" s="7"/>
      <c r="K48" s="7"/>
      <c r="L48" s="7"/>
    </row>
    <row r="49" customFormat="false" ht="23.85" hidden="false" customHeight="false" outlineLevel="0" collapsed="false">
      <c r="A49" s="6" t="s">
        <v>126</v>
      </c>
      <c r="B49" s="6" t="s">
        <v>127</v>
      </c>
      <c r="C49" s="6" t="s">
        <v>413</v>
      </c>
      <c r="D49" s="6" t="s">
        <v>425</v>
      </c>
      <c r="E49" s="6" t="s">
        <v>426</v>
      </c>
      <c r="F49" s="6" t="s">
        <v>416</v>
      </c>
      <c r="G49" s="7" t="s">
        <v>149</v>
      </c>
      <c r="H49" s="7"/>
      <c r="I49" s="7"/>
      <c r="J49" s="7"/>
      <c r="K49" s="7"/>
      <c r="L49" s="7"/>
    </row>
    <row r="50" customFormat="false" ht="15" hidden="false" customHeight="false" outlineLevel="0" collapsed="false">
      <c r="A50" s="6" t="s">
        <v>126</v>
      </c>
      <c r="B50" s="6" t="s">
        <v>127</v>
      </c>
      <c r="C50" s="6" t="s">
        <v>413</v>
      </c>
      <c r="D50" s="6" t="s">
        <v>427</v>
      </c>
      <c r="E50" s="6" t="s">
        <v>428</v>
      </c>
      <c r="F50" s="6" t="s">
        <v>416</v>
      </c>
      <c r="G50" s="7" t="s">
        <v>149</v>
      </c>
      <c r="H50" s="7"/>
      <c r="I50" s="7"/>
      <c r="J50" s="7"/>
      <c r="K50" s="7"/>
      <c r="L50" s="7"/>
    </row>
    <row r="51" customFormat="false" ht="15" hidden="false" customHeight="false" outlineLevel="0" collapsed="false">
      <c r="A51" s="6" t="s">
        <v>126</v>
      </c>
      <c r="B51" s="6" t="s">
        <v>127</v>
      </c>
      <c r="C51" s="6" t="s">
        <v>413</v>
      </c>
      <c r="D51" s="6" t="s">
        <v>429</v>
      </c>
      <c r="E51" s="6" t="s">
        <v>430</v>
      </c>
      <c r="F51" s="6" t="s">
        <v>416</v>
      </c>
      <c r="G51" s="7" t="s">
        <v>149</v>
      </c>
      <c r="H51" s="7"/>
      <c r="I51" s="7"/>
      <c r="J51" s="7"/>
      <c r="K51" s="7"/>
      <c r="L51" s="7"/>
    </row>
    <row r="52" customFormat="false" ht="23.85" hidden="false" customHeight="false" outlineLevel="0" collapsed="false">
      <c r="A52" s="6" t="s">
        <v>126</v>
      </c>
      <c r="B52" s="6" t="s">
        <v>127</v>
      </c>
      <c r="C52" s="6" t="s">
        <v>413</v>
      </c>
      <c r="D52" s="6" t="s">
        <v>431</v>
      </c>
      <c r="E52" s="6" t="s">
        <v>432</v>
      </c>
      <c r="F52" s="6" t="s">
        <v>416</v>
      </c>
      <c r="G52" s="7" t="s">
        <v>149</v>
      </c>
      <c r="H52" s="7"/>
      <c r="I52" s="7"/>
      <c r="J52" s="7"/>
      <c r="K52" s="7"/>
      <c r="L52" s="7"/>
    </row>
    <row r="53" customFormat="false" ht="23.85" hidden="false" customHeight="false" outlineLevel="0" collapsed="false">
      <c r="A53" s="6" t="s">
        <v>126</v>
      </c>
      <c r="B53" s="6" t="s">
        <v>127</v>
      </c>
      <c r="C53" s="6" t="s">
        <v>413</v>
      </c>
      <c r="D53" s="6" t="s">
        <v>433</v>
      </c>
      <c r="E53" s="6" t="s">
        <v>434</v>
      </c>
      <c r="F53" s="6" t="s">
        <v>416</v>
      </c>
      <c r="G53" s="7" t="s">
        <v>149</v>
      </c>
      <c r="H53" s="7"/>
      <c r="I53" s="7"/>
      <c r="J53" s="7"/>
      <c r="K53" s="7"/>
      <c r="L53" s="7"/>
    </row>
    <row r="54" customFormat="false" ht="23.85" hidden="false" customHeight="false" outlineLevel="0" collapsed="false">
      <c r="A54" s="6" t="s">
        <v>126</v>
      </c>
      <c r="B54" s="6" t="s">
        <v>127</v>
      </c>
      <c r="C54" s="6" t="s">
        <v>413</v>
      </c>
      <c r="D54" s="6" t="s">
        <v>435</v>
      </c>
      <c r="E54" s="6" t="s">
        <v>436</v>
      </c>
      <c r="F54" s="6" t="s">
        <v>416</v>
      </c>
      <c r="G54" s="7" t="s">
        <v>149</v>
      </c>
      <c r="H54" s="7"/>
      <c r="I54" s="7"/>
      <c r="J54" s="7"/>
      <c r="K54" s="7"/>
      <c r="L54" s="7"/>
    </row>
    <row r="55" customFormat="false" ht="15" hidden="false" customHeight="false" outlineLevel="0" collapsed="false">
      <c r="A55" s="6" t="s">
        <v>126</v>
      </c>
      <c r="B55" s="6" t="s">
        <v>127</v>
      </c>
      <c r="C55" s="6" t="s">
        <v>413</v>
      </c>
      <c r="D55" s="6" t="s">
        <v>437</v>
      </c>
      <c r="E55" s="6" t="s">
        <v>438</v>
      </c>
      <c r="F55" s="6" t="s">
        <v>416</v>
      </c>
      <c r="G55" s="7" t="s">
        <v>149</v>
      </c>
      <c r="H55" s="7"/>
      <c r="I55" s="7"/>
      <c r="J55" s="7"/>
      <c r="K55" s="7"/>
      <c r="L55" s="7"/>
    </row>
    <row r="56" customFormat="false" ht="15" hidden="false" customHeight="false" outlineLevel="0" collapsed="false">
      <c r="A56" s="6" t="s">
        <v>126</v>
      </c>
      <c r="B56" s="6" t="s">
        <v>127</v>
      </c>
      <c r="C56" s="6" t="s">
        <v>413</v>
      </c>
      <c r="D56" s="6" t="s">
        <v>439</v>
      </c>
      <c r="E56" s="6" t="s">
        <v>440</v>
      </c>
      <c r="F56" s="6" t="s">
        <v>416</v>
      </c>
      <c r="G56" s="7" t="s">
        <v>149</v>
      </c>
      <c r="H56" s="7"/>
      <c r="I56" s="7"/>
      <c r="J56" s="7"/>
      <c r="K56" s="7"/>
      <c r="L56" s="7"/>
    </row>
    <row r="57" customFormat="false" ht="15" hidden="false" customHeight="false" outlineLevel="0" collapsed="false">
      <c r="A57" s="13" t="s">
        <v>441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</row>
    <row r="58" customFormat="false" ht="42" hidden="false" customHeight="true" outlineLevel="0" collapsed="false">
      <c r="A58" s="14" t="s">
        <v>442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</row>
    <row r="59" customFormat="false" ht="35.05" hidden="false" customHeight="false" outlineLevel="0" collapsed="false">
      <c r="A59" s="6" t="s">
        <v>128</v>
      </c>
      <c r="B59" s="6" t="s">
        <v>129</v>
      </c>
      <c r="C59" s="6" t="s">
        <v>443</v>
      </c>
      <c r="D59" s="6" t="s">
        <v>444</v>
      </c>
      <c r="E59" s="6" t="s">
        <v>445</v>
      </c>
      <c r="F59" s="6" t="s">
        <v>446</v>
      </c>
      <c r="G59" s="7" t="s">
        <v>149</v>
      </c>
      <c r="H59" s="7"/>
      <c r="I59" s="7"/>
      <c r="J59" s="7"/>
      <c r="K59" s="7"/>
      <c r="L59" s="7"/>
    </row>
    <row r="60" customFormat="false" ht="35.05" hidden="false" customHeight="false" outlineLevel="0" collapsed="false">
      <c r="A60" s="6" t="s">
        <v>128</v>
      </c>
      <c r="B60" s="6" t="s">
        <v>129</v>
      </c>
      <c r="C60" s="6" t="s">
        <v>443</v>
      </c>
      <c r="D60" s="6" t="s">
        <v>447</v>
      </c>
      <c r="E60" s="6" t="s">
        <v>448</v>
      </c>
      <c r="F60" s="6" t="s">
        <v>446</v>
      </c>
      <c r="G60" s="7" t="s">
        <v>149</v>
      </c>
      <c r="H60" s="7"/>
      <c r="I60" s="7"/>
      <c r="J60" s="7"/>
      <c r="K60" s="7"/>
      <c r="L60" s="7"/>
    </row>
    <row r="61" customFormat="false" ht="35.05" hidden="false" customHeight="false" outlineLevel="0" collapsed="false">
      <c r="A61" s="6" t="s">
        <v>128</v>
      </c>
      <c r="B61" s="6" t="s">
        <v>129</v>
      </c>
      <c r="C61" s="6" t="s">
        <v>443</v>
      </c>
      <c r="D61" s="6" t="s">
        <v>449</v>
      </c>
      <c r="E61" s="6" t="s">
        <v>450</v>
      </c>
      <c r="F61" s="6" t="s">
        <v>446</v>
      </c>
      <c r="G61" s="7" t="s">
        <v>149</v>
      </c>
      <c r="H61" s="7"/>
      <c r="I61" s="7"/>
      <c r="J61" s="7"/>
      <c r="K61" s="7"/>
      <c r="L61" s="7"/>
    </row>
    <row r="62" customFormat="false" ht="35.05" hidden="false" customHeight="false" outlineLevel="0" collapsed="false">
      <c r="A62" s="6" t="s">
        <v>128</v>
      </c>
      <c r="B62" s="6" t="s">
        <v>129</v>
      </c>
      <c r="C62" s="6" t="s">
        <v>443</v>
      </c>
      <c r="D62" s="6" t="s">
        <v>451</v>
      </c>
      <c r="E62" s="6" t="s">
        <v>452</v>
      </c>
      <c r="F62" s="6" t="s">
        <v>446</v>
      </c>
      <c r="G62" s="7" t="s">
        <v>149</v>
      </c>
      <c r="H62" s="7"/>
      <c r="I62" s="7"/>
      <c r="J62" s="7"/>
      <c r="K62" s="7"/>
      <c r="L62" s="7"/>
    </row>
    <row r="63" customFormat="false" ht="35.05" hidden="false" customHeight="false" outlineLevel="0" collapsed="false">
      <c r="A63" s="6" t="s">
        <v>128</v>
      </c>
      <c r="B63" s="6" t="s">
        <v>129</v>
      </c>
      <c r="C63" s="6" t="s">
        <v>443</v>
      </c>
      <c r="D63" s="6" t="s">
        <v>453</v>
      </c>
      <c r="E63" s="6" t="s">
        <v>454</v>
      </c>
      <c r="F63" s="6" t="s">
        <v>446</v>
      </c>
      <c r="G63" s="7" t="s">
        <v>149</v>
      </c>
      <c r="H63" s="7"/>
      <c r="I63" s="7"/>
      <c r="J63" s="7"/>
      <c r="K63" s="7"/>
      <c r="L63" s="7"/>
    </row>
    <row r="64" customFormat="false" ht="35.05" hidden="false" customHeight="false" outlineLevel="0" collapsed="false">
      <c r="A64" s="6" t="s">
        <v>128</v>
      </c>
      <c r="B64" s="6" t="s">
        <v>129</v>
      </c>
      <c r="C64" s="6" t="s">
        <v>443</v>
      </c>
      <c r="D64" s="6" t="s">
        <v>455</v>
      </c>
      <c r="E64" s="6" t="s">
        <v>456</v>
      </c>
      <c r="F64" s="6" t="s">
        <v>446</v>
      </c>
      <c r="G64" s="7" t="s">
        <v>149</v>
      </c>
      <c r="H64" s="7"/>
      <c r="I64" s="7"/>
      <c r="J64" s="7"/>
      <c r="K64" s="7"/>
      <c r="L64" s="7"/>
    </row>
    <row r="65" customFormat="false" ht="35.05" hidden="false" customHeight="false" outlineLevel="0" collapsed="false">
      <c r="A65" s="6" t="s">
        <v>128</v>
      </c>
      <c r="B65" s="6" t="s">
        <v>129</v>
      </c>
      <c r="C65" s="6" t="s">
        <v>443</v>
      </c>
      <c r="D65" s="6" t="s">
        <v>457</v>
      </c>
      <c r="E65" s="6" t="s">
        <v>458</v>
      </c>
      <c r="F65" s="6" t="s">
        <v>446</v>
      </c>
      <c r="G65" s="7" t="s">
        <v>149</v>
      </c>
      <c r="H65" s="7"/>
      <c r="I65" s="7"/>
      <c r="J65" s="7"/>
      <c r="K65" s="7"/>
      <c r="L65" s="7"/>
    </row>
    <row r="66" customFormat="false" ht="35.05" hidden="false" customHeight="false" outlineLevel="0" collapsed="false">
      <c r="A66" s="6" t="s">
        <v>128</v>
      </c>
      <c r="B66" s="6" t="s">
        <v>129</v>
      </c>
      <c r="C66" s="6" t="s">
        <v>443</v>
      </c>
      <c r="D66" s="6" t="s">
        <v>459</v>
      </c>
      <c r="E66" s="6" t="s">
        <v>460</v>
      </c>
      <c r="F66" s="6" t="s">
        <v>446</v>
      </c>
      <c r="G66" s="7" t="s">
        <v>149</v>
      </c>
      <c r="H66" s="7"/>
      <c r="I66" s="7"/>
      <c r="J66" s="7"/>
      <c r="K66" s="7"/>
      <c r="L66" s="7"/>
    </row>
    <row r="67" customFormat="false" ht="35.05" hidden="false" customHeight="false" outlineLevel="0" collapsed="false">
      <c r="A67" s="6" t="s">
        <v>128</v>
      </c>
      <c r="B67" s="6" t="s">
        <v>129</v>
      </c>
      <c r="C67" s="6" t="s">
        <v>443</v>
      </c>
      <c r="D67" s="6" t="s">
        <v>461</v>
      </c>
      <c r="E67" s="6" t="s">
        <v>462</v>
      </c>
      <c r="F67" s="6" t="s">
        <v>446</v>
      </c>
      <c r="G67" s="7" t="s">
        <v>149</v>
      </c>
      <c r="H67" s="7"/>
      <c r="I67" s="7"/>
      <c r="J67" s="7"/>
      <c r="K67" s="7"/>
      <c r="L67" s="7"/>
    </row>
    <row r="68" customFormat="false" ht="35.05" hidden="false" customHeight="false" outlineLevel="0" collapsed="false">
      <c r="A68" s="6" t="s">
        <v>128</v>
      </c>
      <c r="B68" s="6" t="s">
        <v>129</v>
      </c>
      <c r="C68" s="6" t="s">
        <v>443</v>
      </c>
      <c r="D68" s="6" t="s">
        <v>463</v>
      </c>
      <c r="E68" s="6" t="s">
        <v>464</v>
      </c>
      <c r="F68" s="6" t="s">
        <v>446</v>
      </c>
      <c r="G68" s="7" t="s">
        <v>149</v>
      </c>
      <c r="H68" s="7"/>
      <c r="I68" s="7"/>
      <c r="J68" s="7"/>
      <c r="K68" s="7"/>
      <c r="L68" s="7"/>
    </row>
    <row r="69" customFormat="false" ht="35.05" hidden="false" customHeight="false" outlineLevel="0" collapsed="false">
      <c r="A69" s="6" t="s">
        <v>128</v>
      </c>
      <c r="B69" s="6" t="s">
        <v>129</v>
      </c>
      <c r="C69" s="6" t="s">
        <v>443</v>
      </c>
      <c r="D69" s="6" t="s">
        <v>465</v>
      </c>
      <c r="E69" s="6" t="s">
        <v>466</v>
      </c>
      <c r="F69" s="6" t="s">
        <v>446</v>
      </c>
      <c r="G69" s="7" t="s">
        <v>149</v>
      </c>
      <c r="H69" s="7"/>
      <c r="I69" s="7"/>
      <c r="J69" s="7"/>
      <c r="K69" s="7"/>
      <c r="L69" s="7"/>
    </row>
    <row r="70" customFormat="false" ht="15" hidden="false" customHeight="false" outlineLevel="0" collapsed="false">
      <c r="A70" s="13" t="s">
        <v>467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</row>
    <row r="71" customFormat="false" ht="42" hidden="false" customHeight="true" outlineLevel="0" collapsed="false">
      <c r="A71" s="14" t="s">
        <v>468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</row>
    <row r="72" customFormat="false" ht="46.25" hidden="false" customHeight="false" outlineLevel="0" collapsed="false">
      <c r="A72" s="6" t="s">
        <v>130</v>
      </c>
      <c r="B72" s="6" t="s">
        <v>131</v>
      </c>
      <c r="C72" s="6" t="s">
        <v>469</v>
      </c>
      <c r="D72" s="6" t="s">
        <v>470</v>
      </c>
      <c r="E72" s="6" t="s">
        <v>471</v>
      </c>
      <c r="F72" s="6" t="s">
        <v>472</v>
      </c>
      <c r="G72" s="7" t="s">
        <v>149</v>
      </c>
      <c r="H72" s="7"/>
      <c r="I72" s="7"/>
      <c r="J72" s="7"/>
      <c r="K72" s="7"/>
      <c r="L72" s="7"/>
    </row>
    <row r="73" customFormat="false" ht="46.25" hidden="false" customHeight="false" outlineLevel="0" collapsed="false">
      <c r="A73" s="6" t="s">
        <v>130</v>
      </c>
      <c r="B73" s="6" t="s">
        <v>131</v>
      </c>
      <c r="C73" s="6" t="s">
        <v>469</v>
      </c>
      <c r="D73" s="6" t="s">
        <v>473</v>
      </c>
      <c r="E73" s="6" t="s">
        <v>474</v>
      </c>
      <c r="F73" s="6" t="s">
        <v>472</v>
      </c>
      <c r="G73" s="7" t="s">
        <v>149</v>
      </c>
      <c r="H73" s="7"/>
      <c r="I73" s="7"/>
      <c r="J73" s="7"/>
      <c r="K73" s="7"/>
      <c r="L73" s="7"/>
    </row>
    <row r="74" customFormat="false" ht="46.25" hidden="false" customHeight="false" outlineLevel="0" collapsed="false">
      <c r="A74" s="6" t="s">
        <v>130</v>
      </c>
      <c r="B74" s="6" t="s">
        <v>131</v>
      </c>
      <c r="C74" s="6" t="s">
        <v>469</v>
      </c>
      <c r="D74" s="6" t="s">
        <v>475</v>
      </c>
      <c r="E74" s="6" t="s">
        <v>476</v>
      </c>
      <c r="F74" s="6" t="s">
        <v>472</v>
      </c>
      <c r="G74" s="7" t="s">
        <v>149</v>
      </c>
      <c r="H74" s="7"/>
      <c r="I74" s="7"/>
      <c r="J74" s="7"/>
      <c r="K74" s="7"/>
      <c r="L74" s="7"/>
    </row>
    <row r="75" customFormat="false" ht="46.25" hidden="false" customHeight="false" outlineLevel="0" collapsed="false">
      <c r="A75" s="6" t="s">
        <v>130</v>
      </c>
      <c r="B75" s="6" t="s">
        <v>131</v>
      </c>
      <c r="C75" s="6" t="s">
        <v>469</v>
      </c>
      <c r="D75" s="6" t="s">
        <v>477</v>
      </c>
      <c r="E75" s="6" t="s">
        <v>478</v>
      </c>
      <c r="F75" s="6" t="s">
        <v>472</v>
      </c>
      <c r="G75" s="7" t="s">
        <v>149</v>
      </c>
      <c r="H75" s="7"/>
      <c r="I75" s="7"/>
      <c r="J75" s="7"/>
      <c r="K75" s="7"/>
      <c r="L75" s="7"/>
    </row>
    <row r="76" customFormat="false" ht="46.25" hidden="false" customHeight="false" outlineLevel="0" collapsed="false">
      <c r="A76" s="6" t="s">
        <v>130</v>
      </c>
      <c r="B76" s="6" t="s">
        <v>131</v>
      </c>
      <c r="C76" s="6" t="s">
        <v>469</v>
      </c>
      <c r="D76" s="6" t="s">
        <v>479</v>
      </c>
      <c r="E76" s="6" t="s">
        <v>480</v>
      </c>
      <c r="F76" s="6" t="s">
        <v>472</v>
      </c>
      <c r="G76" s="7" t="s">
        <v>149</v>
      </c>
      <c r="H76" s="7"/>
      <c r="I76" s="7"/>
      <c r="J76" s="7"/>
      <c r="K76" s="7"/>
      <c r="L76" s="7"/>
    </row>
    <row r="77" customFormat="false" ht="46.25" hidden="false" customHeight="false" outlineLevel="0" collapsed="false">
      <c r="A77" s="6" t="s">
        <v>130</v>
      </c>
      <c r="B77" s="6" t="s">
        <v>131</v>
      </c>
      <c r="C77" s="6" t="s">
        <v>469</v>
      </c>
      <c r="D77" s="6" t="s">
        <v>481</v>
      </c>
      <c r="E77" s="6" t="s">
        <v>482</v>
      </c>
      <c r="F77" s="6" t="s">
        <v>472</v>
      </c>
      <c r="G77" s="7" t="s">
        <v>149</v>
      </c>
      <c r="H77" s="7"/>
      <c r="I77" s="7"/>
      <c r="J77" s="7"/>
      <c r="K77" s="7"/>
      <c r="L77" s="7"/>
    </row>
    <row r="78" customFormat="false" ht="46.25" hidden="false" customHeight="false" outlineLevel="0" collapsed="false">
      <c r="A78" s="6" t="s">
        <v>130</v>
      </c>
      <c r="B78" s="6" t="s">
        <v>131</v>
      </c>
      <c r="C78" s="6" t="s">
        <v>469</v>
      </c>
      <c r="D78" s="6" t="s">
        <v>483</v>
      </c>
      <c r="E78" s="6" t="s">
        <v>484</v>
      </c>
      <c r="F78" s="6" t="s">
        <v>472</v>
      </c>
      <c r="G78" s="7" t="s">
        <v>149</v>
      </c>
      <c r="H78" s="7"/>
      <c r="I78" s="7"/>
      <c r="J78" s="7"/>
      <c r="K78" s="7"/>
      <c r="L78" s="7"/>
    </row>
    <row r="79" customFormat="false" ht="46.25" hidden="false" customHeight="false" outlineLevel="0" collapsed="false">
      <c r="A79" s="6" t="s">
        <v>130</v>
      </c>
      <c r="B79" s="6" t="s">
        <v>131</v>
      </c>
      <c r="C79" s="6" t="s">
        <v>469</v>
      </c>
      <c r="D79" s="6" t="s">
        <v>485</v>
      </c>
      <c r="E79" s="6" t="s">
        <v>486</v>
      </c>
      <c r="F79" s="6" t="s">
        <v>472</v>
      </c>
      <c r="G79" s="7" t="s">
        <v>149</v>
      </c>
      <c r="H79" s="7"/>
      <c r="I79" s="7"/>
      <c r="J79" s="7"/>
      <c r="K79" s="7"/>
      <c r="L79" s="7"/>
    </row>
    <row r="80" customFormat="false" ht="46.25" hidden="false" customHeight="false" outlineLevel="0" collapsed="false">
      <c r="A80" s="6" t="s">
        <v>130</v>
      </c>
      <c r="B80" s="6" t="s">
        <v>131</v>
      </c>
      <c r="C80" s="6" t="s">
        <v>469</v>
      </c>
      <c r="D80" s="6" t="s">
        <v>487</v>
      </c>
      <c r="E80" s="6" t="s">
        <v>488</v>
      </c>
      <c r="F80" s="6" t="s">
        <v>472</v>
      </c>
      <c r="G80" s="7" t="s">
        <v>149</v>
      </c>
      <c r="H80" s="7"/>
      <c r="I80" s="7"/>
      <c r="J80" s="7"/>
      <c r="K80" s="7"/>
      <c r="L80" s="7"/>
    </row>
    <row r="81" customFormat="false" ht="46.25" hidden="false" customHeight="false" outlineLevel="0" collapsed="false">
      <c r="A81" s="6" t="s">
        <v>130</v>
      </c>
      <c r="B81" s="6" t="s">
        <v>131</v>
      </c>
      <c r="C81" s="6" t="s">
        <v>469</v>
      </c>
      <c r="D81" s="6" t="s">
        <v>489</v>
      </c>
      <c r="E81" s="6" t="s">
        <v>490</v>
      </c>
      <c r="F81" s="6" t="s">
        <v>472</v>
      </c>
      <c r="G81" s="7" t="s">
        <v>149</v>
      </c>
      <c r="H81" s="7"/>
      <c r="I81" s="7"/>
      <c r="J81" s="7"/>
      <c r="K81" s="7"/>
      <c r="L81" s="7"/>
    </row>
    <row r="82" customFormat="false" ht="46.25" hidden="false" customHeight="false" outlineLevel="0" collapsed="false">
      <c r="A82" s="6" t="s">
        <v>130</v>
      </c>
      <c r="B82" s="6" t="s">
        <v>131</v>
      </c>
      <c r="C82" s="6" t="s">
        <v>469</v>
      </c>
      <c r="D82" s="6" t="s">
        <v>491</v>
      </c>
      <c r="E82" s="6" t="s">
        <v>492</v>
      </c>
      <c r="F82" s="6" t="s">
        <v>472</v>
      </c>
      <c r="G82" s="7" t="s">
        <v>149</v>
      </c>
      <c r="H82" s="7"/>
      <c r="I82" s="7"/>
      <c r="J82" s="7"/>
      <c r="K82" s="7"/>
      <c r="L82" s="7"/>
    </row>
    <row r="83" customFormat="false" ht="15" hidden="false" customHeight="false" outlineLevel="0" collapsed="false">
      <c r="A83" s="13" t="s">
        <v>493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</row>
    <row r="84" customFormat="false" ht="42" hidden="false" customHeight="true" outlineLevel="0" collapsed="false">
      <c r="A84" s="14" t="s">
        <v>494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</row>
    <row r="85" customFormat="false" ht="23.85" hidden="false" customHeight="false" outlineLevel="0" collapsed="false">
      <c r="A85" s="6" t="s">
        <v>132</v>
      </c>
      <c r="B85" s="6" t="s">
        <v>133</v>
      </c>
      <c r="C85" s="6" t="s">
        <v>495</v>
      </c>
      <c r="D85" s="6" t="s">
        <v>496</v>
      </c>
      <c r="E85" s="6" t="s">
        <v>497</v>
      </c>
      <c r="F85" s="6" t="s">
        <v>498</v>
      </c>
      <c r="G85" s="7" t="s">
        <v>149</v>
      </c>
      <c r="H85" s="7"/>
      <c r="I85" s="7"/>
      <c r="J85" s="7"/>
      <c r="K85" s="7"/>
      <c r="L85" s="7"/>
    </row>
    <row r="86" customFormat="false" ht="23.85" hidden="false" customHeight="false" outlineLevel="0" collapsed="false">
      <c r="A86" s="6" t="s">
        <v>132</v>
      </c>
      <c r="B86" s="6" t="s">
        <v>133</v>
      </c>
      <c r="C86" s="6" t="s">
        <v>495</v>
      </c>
      <c r="D86" s="6" t="s">
        <v>499</v>
      </c>
      <c r="E86" s="6" t="s">
        <v>500</v>
      </c>
      <c r="F86" s="6" t="s">
        <v>498</v>
      </c>
      <c r="G86" s="7" t="s">
        <v>149</v>
      </c>
      <c r="H86" s="7"/>
      <c r="I86" s="7"/>
      <c r="J86" s="7"/>
      <c r="K86" s="7"/>
      <c r="L86" s="7"/>
    </row>
    <row r="87" customFormat="false" ht="23.85" hidden="false" customHeight="false" outlineLevel="0" collapsed="false">
      <c r="A87" s="6" t="s">
        <v>132</v>
      </c>
      <c r="B87" s="6" t="s">
        <v>133</v>
      </c>
      <c r="C87" s="6" t="s">
        <v>495</v>
      </c>
      <c r="D87" s="6" t="s">
        <v>501</v>
      </c>
      <c r="E87" s="6" t="s">
        <v>502</v>
      </c>
      <c r="F87" s="6" t="s">
        <v>498</v>
      </c>
      <c r="G87" s="7" t="s">
        <v>149</v>
      </c>
      <c r="H87" s="7"/>
      <c r="I87" s="7"/>
      <c r="J87" s="7"/>
      <c r="K87" s="7"/>
      <c r="L87" s="7"/>
    </row>
    <row r="88" customFormat="false" ht="23.85" hidden="false" customHeight="false" outlineLevel="0" collapsed="false">
      <c r="A88" s="6" t="s">
        <v>132</v>
      </c>
      <c r="B88" s="6" t="s">
        <v>133</v>
      </c>
      <c r="C88" s="6" t="s">
        <v>495</v>
      </c>
      <c r="D88" s="6" t="s">
        <v>503</v>
      </c>
      <c r="E88" s="6" t="s">
        <v>504</v>
      </c>
      <c r="F88" s="6" t="s">
        <v>498</v>
      </c>
      <c r="G88" s="7" t="s">
        <v>149</v>
      </c>
      <c r="H88" s="7"/>
      <c r="I88" s="7"/>
      <c r="J88" s="7"/>
      <c r="K88" s="7"/>
      <c r="L88" s="7"/>
    </row>
    <row r="89" customFormat="false" ht="23.85" hidden="false" customHeight="false" outlineLevel="0" collapsed="false">
      <c r="A89" s="6" t="s">
        <v>132</v>
      </c>
      <c r="B89" s="6" t="s">
        <v>133</v>
      </c>
      <c r="C89" s="6" t="s">
        <v>495</v>
      </c>
      <c r="D89" s="6" t="s">
        <v>505</v>
      </c>
      <c r="E89" s="6" t="s">
        <v>506</v>
      </c>
      <c r="F89" s="6" t="s">
        <v>498</v>
      </c>
      <c r="G89" s="7" t="s">
        <v>149</v>
      </c>
      <c r="H89" s="7"/>
      <c r="I89" s="7"/>
      <c r="J89" s="7"/>
      <c r="K89" s="7"/>
      <c r="L89" s="7"/>
    </row>
    <row r="90" customFormat="false" ht="23.85" hidden="false" customHeight="false" outlineLevel="0" collapsed="false">
      <c r="A90" s="6" t="s">
        <v>132</v>
      </c>
      <c r="B90" s="6" t="s">
        <v>133</v>
      </c>
      <c r="C90" s="6" t="s">
        <v>495</v>
      </c>
      <c r="D90" s="6" t="s">
        <v>507</v>
      </c>
      <c r="E90" s="6" t="s">
        <v>508</v>
      </c>
      <c r="F90" s="6" t="s">
        <v>498</v>
      </c>
      <c r="G90" s="7" t="s">
        <v>149</v>
      </c>
      <c r="H90" s="7"/>
      <c r="I90" s="7"/>
      <c r="J90" s="7"/>
      <c r="K90" s="7"/>
      <c r="L90" s="7"/>
    </row>
    <row r="91" customFormat="false" ht="23.85" hidden="false" customHeight="false" outlineLevel="0" collapsed="false">
      <c r="A91" s="6" t="s">
        <v>132</v>
      </c>
      <c r="B91" s="6" t="s">
        <v>133</v>
      </c>
      <c r="C91" s="6" t="s">
        <v>495</v>
      </c>
      <c r="D91" s="6" t="s">
        <v>509</v>
      </c>
      <c r="E91" s="6" t="s">
        <v>510</v>
      </c>
      <c r="F91" s="6" t="s">
        <v>498</v>
      </c>
      <c r="G91" s="7" t="s">
        <v>149</v>
      </c>
      <c r="H91" s="7"/>
      <c r="I91" s="7"/>
      <c r="J91" s="7"/>
      <c r="K91" s="7"/>
      <c r="L91" s="7"/>
    </row>
    <row r="92" customFormat="false" ht="23.85" hidden="false" customHeight="false" outlineLevel="0" collapsed="false">
      <c r="A92" s="6" t="s">
        <v>132</v>
      </c>
      <c r="B92" s="6" t="s">
        <v>133</v>
      </c>
      <c r="C92" s="6" t="s">
        <v>495</v>
      </c>
      <c r="D92" s="6" t="s">
        <v>511</v>
      </c>
      <c r="E92" s="6" t="s">
        <v>512</v>
      </c>
      <c r="F92" s="6" t="s">
        <v>498</v>
      </c>
      <c r="G92" s="7" t="s">
        <v>149</v>
      </c>
      <c r="H92" s="7"/>
      <c r="I92" s="7"/>
      <c r="J92" s="7"/>
      <c r="K92" s="7"/>
      <c r="L92" s="7"/>
    </row>
    <row r="93" customFormat="false" ht="23.85" hidden="false" customHeight="false" outlineLevel="0" collapsed="false">
      <c r="A93" s="6" t="s">
        <v>132</v>
      </c>
      <c r="B93" s="6" t="s">
        <v>133</v>
      </c>
      <c r="C93" s="6" t="s">
        <v>495</v>
      </c>
      <c r="D93" s="6" t="s">
        <v>513</v>
      </c>
      <c r="E93" s="6" t="s">
        <v>514</v>
      </c>
      <c r="F93" s="6" t="s">
        <v>498</v>
      </c>
      <c r="G93" s="7" t="s">
        <v>149</v>
      </c>
      <c r="H93" s="7"/>
      <c r="I93" s="7"/>
      <c r="J93" s="7"/>
      <c r="K93" s="7"/>
      <c r="L93" s="7"/>
    </row>
    <row r="94" customFormat="false" ht="23.85" hidden="false" customHeight="false" outlineLevel="0" collapsed="false">
      <c r="A94" s="6" t="s">
        <v>132</v>
      </c>
      <c r="B94" s="6" t="s">
        <v>133</v>
      </c>
      <c r="C94" s="6" t="s">
        <v>495</v>
      </c>
      <c r="D94" s="6" t="s">
        <v>515</v>
      </c>
      <c r="E94" s="6" t="s">
        <v>516</v>
      </c>
      <c r="F94" s="6" t="s">
        <v>498</v>
      </c>
      <c r="G94" s="7" t="s">
        <v>149</v>
      </c>
      <c r="H94" s="7"/>
      <c r="I94" s="7"/>
      <c r="J94" s="7"/>
      <c r="K94" s="7"/>
      <c r="L94" s="7"/>
    </row>
    <row r="95" customFormat="false" ht="23.85" hidden="false" customHeight="false" outlineLevel="0" collapsed="false">
      <c r="A95" s="6" t="s">
        <v>132</v>
      </c>
      <c r="B95" s="6" t="s">
        <v>133</v>
      </c>
      <c r="C95" s="6" t="s">
        <v>495</v>
      </c>
      <c r="D95" s="6" t="s">
        <v>517</v>
      </c>
      <c r="E95" s="6" t="s">
        <v>518</v>
      </c>
      <c r="F95" s="6" t="s">
        <v>498</v>
      </c>
      <c r="G95" s="7" t="s">
        <v>149</v>
      </c>
      <c r="H95" s="7"/>
      <c r="I95" s="7"/>
      <c r="J95" s="7"/>
      <c r="K95" s="7"/>
      <c r="L95" s="7"/>
    </row>
    <row r="96" customFormat="false" ht="23.85" hidden="false" customHeight="false" outlineLevel="0" collapsed="false">
      <c r="A96" s="6" t="s">
        <v>132</v>
      </c>
      <c r="B96" s="6" t="s">
        <v>133</v>
      </c>
      <c r="C96" s="6" t="s">
        <v>495</v>
      </c>
      <c r="D96" s="6" t="s">
        <v>519</v>
      </c>
      <c r="E96" s="6" t="s">
        <v>520</v>
      </c>
      <c r="F96" s="6" t="s">
        <v>498</v>
      </c>
      <c r="G96" s="7" t="s">
        <v>149</v>
      </c>
      <c r="H96" s="7"/>
      <c r="I96" s="7"/>
      <c r="J96" s="7"/>
      <c r="K96" s="7"/>
      <c r="L96" s="7"/>
    </row>
    <row r="97" customFormat="false" ht="23.85" hidden="false" customHeight="false" outlineLevel="0" collapsed="false">
      <c r="A97" s="6" t="s">
        <v>132</v>
      </c>
      <c r="B97" s="6" t="s">
        <v>133</v>
      </c>
      <c r="C97" s="6" t="s">
        <v>495</v>
      </c>
      <c r="D97" s="6" t="s">
        <v>521</v>
      </c>
      <c r="E97" s="6" t="s">
        <v>522</v>
      </c>
      <c r="F97" s="6" t="s">
        <v>498</v>
      </c>
      <c r="G97" s="7" t="s">
        <v>149</v>
      </c>
      <c r="H97" s="7"/>
      <c r="I97" s="7"/>
      <c r="J97" s="7"/>
      <c r="K97" s="7"/>
      <c r="L97" s="7"/>
    </row>
    <row r="98" customFormat="false" ht="15" hidden="false" customHeight="false" outlineLevel="0" collapsed="false">
      <c r="A98" s="13" t="s">
        <v>523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</row>
    <row r="99" customFormat="false" ht="42" hidden="false" customHeight="true" outlineLevel="0" collapsed="false">
      <c r="A99" s="14" t="s">
        <v>524</v>
      </c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</row>
    <row r="100" customFormat="false" ht="23.85" hidden="false" customHeight="false" outlineLevel="0" collapsed="false">
      <c r="A100" s="6" t="s">
        <v>134</v>
      </c>
      <c r="B100" s="6" t="s">
        <v>135</v>
      </c>
      <c r="C100" s="6" t="s">
        <v>525</v>
      </c>
      <c r="D100" s="6" t="s">
        <v>526</v>
      </c>
      <c r="E100" s="6" t="s">
        <v>527</v>
      </c>
      <c r="F100" s="6" t="s">
        <v>528</v>
      </c>
      <c r="G100" s="7" t="s">
        <v>149</v>
      </c>
      <c r="H100" s="7"/>
      <c r="I100" s="7"/>
      <c r="J100" s="7"/>
      <c r="K100" s="7"/>
      <c r="L100" s="7"/>
    </row>
    <row r="101" customFormat="false" ht="15" hidden="false" customHeight="false" outlineLevel="0" collapsed="false">
      <c r="A101" s="6" t="s">
        <v>134</v>
      </c>
      <c r="B101" s="6" t="s">
        <v>135</v>
      </c>
      <c r="C101" s="6" t="s">
        <v>525</v>
      </c>
      <c r="D101" s="6" t="s">
        <v>529</v>
      </c>
      <c r="E101" s="6" t="s">
        <v>530</v>
      </c>
      <c r="F101" s="6" t="s">
        <v>528</v>
      </c>
      <c r="G101" s="7" t="s">
        <v>149</v>
      </c>
      <c r="H101" s="7"/>
      <c r="I101" s="7"/>
      <c r="J101" s="7"/>
      <c r="K101" s="7"/>
      <c r="L101" s="7"/>
    </row>
    <row r="102" customFormat="false" ht="23.85" hidden="false" customHeight="false" outlineLevel="0" collapsed="false">
      <c r="A102" s="6" t="s">
        <v>134</v>
      </c>
      <c r="B102" s="6" t="s">
        <v>135</v>
      </c>
      <c r="C102" s="6" t="s">
        <v>525</v>
      </c>
      <c r="D102" s="6" t="s">
        <v>531</v>
      </c>
      <c r="E102" s="6" t="s">
        <v>532</v>
      </c>
      <c r="F102" s="6" t="s">
        <v>528</v>
      </c>
      <c r="G102" s="7" t="s">
        <v>149</v>
      </c>
      <c r="H102" s="7"/>
      <c r="I102" s="7"/>
      <c r="J102" s="7"/>
      <c r="K102" s="7"/>
      <c r="L102" s="7"/>
    </row>
    <row r="103" customFormat="false" ht="23.85" hidden="false" customHeight="false" outlineLevel="0" collapsed="false">
      <c r="A103" s="6" t="s">
        <v>134</v>
      </c>
      <c r="B103" s="6" t="s">
        <v>135</v>
      </c>
      <c r="C103" s="6" t="s">
        <v>525</v>
      </c>
      <c r="D103" s="6" t="s">
        <v>533</v>
      </c>
      <c r="E103" s="6" t="s">
        <v>534</v>
      </c>
      <c r="F103" s="6" t="s">
        <v>528</v>
      </c>
      <c r="G103" s="7" t="s">
        <v>149</v>
      </c>
      <c r="H103" s="7"/>
      <c r="I103" s="7"/>
      <c r="J103" s="7"/>
      <c r="K103" s="7"/>
      <c r="L103" s="7"/>
    </row>
    <row r="104" customFormat="false" ht="23.85" hidden="false" customHeight="false" outlineLevel="0" collapsed="false">
      <c r="A104" s="6" t="s">
        <v>134</v>
      </c>
      <c r="B104" s="6" t="s">
        <v>135</v>
      </c>
      <c r="C104" s="6" t="s">
        <v>525</v>
      </c>
      <c r="D104" s="6" t="s">
        <v>535</v>
      </c>
      <c r="E104" s="6" t="s">
        <v>536</v>
      </c>
      <c r="F104" s="6" t="s">
        <v>528</v>
      </c>
      <c r="G104" s="7" t="s">
        <v>149</v>
      </c>
      <c r="H104" s="7"/>
      <c r="I104" s="7"/>
      <c r="J104" s="7"/>
      <c r="K104" s="7"/>
      <c r="L104" s="7"/>
    </row>
    <row r="105" customFormat="false" ht="15" hidden="false" customHeight="false" outlineLevel="0" collapsed="false">
      <c r="A105" s="6" t="s">
        <v>134</v>
      </c>
      <c r="B105" s="6" t="s">
        <v>135</v>
      </c>
      <c r="C105" s="6" t="s">
        <v>525</v>
      </c>
      <c r="D105" s="6" t="s">
        <v>537</v>
      </c>
      <c r="E105" s="6" t="s">
        <v>538</v>
      </c>
      <c r="F105" s="6" t="s">
        <v>528</v>
      </c>
      <c r="G105" s="7" t="s">
        <v>149</v>
      </c>
      <c r="H105" s="7"/>
      <c r="I105" s="7"/>
      <c r="J105" s="7"/>
      <c r="K105" s="7"/>
      <c r="L105" s="7"/>
    </row>
    <row r="106" customFormat="false" ht="15" hidden="false" customHeight="false" outlineLevel="0" collapsed="false">
      <c r="A106" s="6" t="s">
        <v>134</v>
      </c>
      <c r="B106" s="6" t="s">
        <v>135</v>
      </c>
      <c r="C106" s="6" t="s">
        <v>525</v>
      </c>
      <c r="D106" s="6" t="s">
        <v>539</v>
      </c>
      <c r="E106" s="6" t="s">
        <v>540</v>
      </c>
      <c r="F106" s="6" t="s">
        <v>528</v>
      </c>
      <c r="G106" s="7" t="s">
        <v>149</v>
      </c>
      <c r="H106" s="7"/>
      <c r="I106" s="7"/>
      <c r="J106" s="7"/>
      <c r="K106" s="7"/>
      <c r="L106" s="7"/>
    </row>
    <row r="107" customFormat="false" ht="15" hidden="false" customHeight="false" outlineLevel="0" collapsed="false">
      <c r="A107" s="6" t="s">
        <v>134</v>
      </c>
      <c r="B107" s="6" t="s">
        <v>135</v>
      </c>
      <c r="C107" s="6" t="s">
        <v>525</v>
      </c>
      <c r="D107" s="6" t="s">
        <v>541</v>
      </c>
      <c r="E107" s="6" t="s">
        <v>542</v>
      </c>
      <c r="F107" s="6" t="s">
        <v>528</v>
      </c>
      <c r="G107" s="7" t="s">
        <v>149</v>
      </c>
      <c r="H107" s="7"/>
      <c r="I107" s="7"/>
      <c r="J107" s="7"/>
      <c r="K107" s="7"/>
      <c r="L107" s="7"/>
    </row>
    <row r="108" customFormat="false" ht="15" hidden="false" customHeight="false" outlineLevel="0" collapsed="false">
      <c r="A108" s="6" t="s">
        <v>134</v>
      </c>
      <c r="B108" s="6" t="s">
        <v>135</v>
      </c>
      <c r="C108" s="6" t="s">
        <v>525</v>
      </c>
      <c r="D108" s="6" t="s">
        <v>543</v>
      </c>
      <c r="E108" s="6" t="s">
        <v>544</v>
      </c>
      <c r="F108" s="6" t="s">
        <v>528</v>
      </c>
      <c r="G108" s="7" t="s">
        <v>149</v>
      </c>
      <c r="H108" s="7"/>
      <c r="I108" s="7"/>
      <c r="J108" s="7"/>
      <c r="K108" s="7"/>
      <c r="L108" s="7"/>
    </row>
    <row r="109" customFormat="false" ht="15" hidden="false" customHeight="false" outlineLevel="0" collapsed="false">
      <c r="A109" s="6" t="s">
        <v>134</v>
      </c>
      <c r="B109" s="6" t="s">
        <v>135</v>
      </c>
      <c r="C109" s="6" t="s">
        <v>525</v>
      </c>
      <c r="D109" s="6" t="s">
        <v>545</v>
      </c>
      <c r="E109" s="6" t="s">
        <v>546</v>
      </c>
      <c r="F109" s="6" t="s">
        <v>528</v>
      </c>
      <c r="G109" s="7" t="s">
        <v>149</v>
      </c>
      <c r="H109" s="7"/>
      <c r="I109" s="7"/>
      <c r="J109" s="7"/>
      <c r="K109" s="7"/>
      <c r="L109" s="7"/>
    </row>
  </sheetData>
  <mergeCells count="18">
    <mergeCell ref="A1:L1"/>
    <mergeCell ref="A2:L2"/>
    <mergeCell ref="A5:L5"/>
    <mergeCell ref="A6:L6"/>
    <mergeCell ref="A15:L15"/>
    <mergeCell ref="A16:L16"/>
    <mergeCell ref="A29:L29"/>
    <mergeCell ref="A30:L30"/>
    <mergeCell ref="A42:L42"/>
    <mergeCell ref="A43:L43"/>
    <mergeCell ref="A57:L57"/>
    <mergeCell ref="A58:L58"/>
    <mergeCell ref="A70:L70"/>
    <mergeCell ref="A71:L71"/>
    <mergeCell ref="A83:L83"/>
    <mergeCell ref="A84:L84"/>
    <mergeCell ref="A98:L98"/>
    <mergeCell ref="A99:L99"/>
  </mergeCells>
  <dataValidations count="1">
    <dataValidation allowBlank="true" errorStyle="stop" operator="between" showDropDown="false" showErrorMessage="false" showInputMessage="false" sqref="G5:G109" type="list">
      <formula1>"Not started,In progress,Submitted for review,Complete,Not applicable,Exception approved"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62"/>
    <col collapsed="false" customWidth="true" hidden="false" outlineLevel="0" max="7" min="7" style="0" width="24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" t="s">
        <v>547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2" t="s">
        <v>548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5" t="s">
        <v>140</v>
      </c>
      <c r="B4" s="5" t="s">
        <v>549</v>
      </c>
      <c r="C4" s="5" t="s">
        <v>550</v>
      </c>
      <c r="D4" s="5" t="s">
        <v>551</v>
      </c>
      <c r="E4" s="5" t="s">
        <v>552</v>
      </c>
      <c r="F4" s="5" t="s">
        <v>553</v>
      </c>
      <c r="G4" s="5" t="s">
        <v>21</v>
      </c>
      <c r="H4" s="5" t="s">
        <v>554</v>
      </c>
    </row>
    <row r="5" customFormat="false" ht="23.85" hidden="false" customHeight="false" outlineLevel="0" collapsed="false">
      <c r="A5" s="6" t="s">
        <v>555</v>
      </c>
      <c r="B5" s="6" t="s">
        <v>556</v>
      </c>
      <c r="C5" s="6" t="s">
        <v>557</v>
      </c>
      <c r="D5" s="6" t="s">
        <v>557</v>
      </c>
      <c r="E5" s="6" t="s">
        <v>557</v>
      </c>
      <c r="F5" s="6" t="s">
        <v>558</v>
      </c>
      <c r="G5" s="6" t="s">
        <v>559</v>
      </c>
      <c r="H5" s="6" t="s">
        <v>560</v>
      </c>
    </row>
    <row r="6" customFormat="false" ht="35.05" hidden="false" customHeight="false" outlineLevel="0" collapsed="false">
      <c r="A6" s="6" t="s">
        <v>561</v>
      </c>
      <c r="B6" s="6" t="s">
        <v>562</v>
      </c>
      <c r="C6" s="6" t="s">
        <v>557</v>
      </c>
      <c r="D6" s="6" t="s">
        <v>557</v>
      </c>
      <c r="E6" s="6" t="s">
        <v>557</v>
      </c>
      <c r="F6" s="6" t="s">
        <v>563</v>
      </c>
      <c r="G6" s="6" t="s">
        <v>564</v>
      </c>
      <c r="H6" s="6" t="s">
        <v>565</v>
      </c>
    </row>
    <row r="7" customFormat="false" ht="35.05" hidden="false" customHeight="false" outlineLevel="0" collapsed="false">
      <c r="A7" s="6" t="s">
        <v>566</v>
      </c>
      <c r="B7" s="6" t="s">
        <v>562</v>
      </c>
      <c r="C7" s="6" t="s">
        <v>567</v>
      </c>
      <c r="D7" s="6" t="s">
        <v>557</v>
      </c>
      <c r="E7" s="6" t="s">
        <v>568</v>
      </c>
      <c r="F7" s="6" t="s">
        <v>569</v>
      </c>
      <c r="G7" s="6" t="s">
        <v>570</v>
      </c>
      <c r="H7" s="6" t="s">
        <v>571</v>
      </c>
    </row>
    <row r="8" customFormat="false" ht="35.05" hidden="false" customHeight="false" outlineLevel="0" collapsed="false">
      <c r="A8" s="6" t="s">
        <v>572</v>
      </c>
      <c r="B8" s="6" t="s">
        <v>556</v>
      </c>
      <c r="C8" s="6" t="s">
        <v>557</v>
      </c>
      <c r="D8" s="6" t="s">
        <v>557</v>
      </c>
      <c r="E8" s="6" t="s">
        <v>557</v>
      </c>
      <c r="F8" s="6" t="s">
        <v>573</v>
      </c>
      <c r="G8" s="6" t="s">
        <v>570</v>
      </c>
      <c r="H8" s="6" t="s">
        <v>574</v>
      </c>
    </row>
    <row r="9" customFormat="false" ht="23.85" hidden="false" customHeight="false" outlineLevel="0" collapsed="false">
      <c r="A9" s="6" t="s">
        <v>575</v>
      </c>
      <c r="B9" s="6" t="s">
        <v>576</v>
      </c>
      <c r="C9" s="6" t="s">
        <v>557</v>
      </c>
      <c r="D9" s="6" t="s">
        <v>577</v>
      </c>
      <c r="E9" s="6" t="s">
        <v>578</v>
      </c>
      <c r="F9" s="6" t="s">
        <v>579</v>
      </c>
      <c r="G9" s="6" t="s">
        <v>580</v>
      </c>
      <c r="H9" s="6" t="s">
        <v>581</v>
      </c>
    </row>
    <row r="10" customFormat="false" ht="35.05" hidden="false" customHeight="false" outlineLevel="0" collapsed="false">
      <c r="A10" s="6" t="s">
        <v>582</v>
      </c>
      <c r="B10" s="6" t="s">
        <v>583</v>
      </c>
      <c r="C10" s="6" t="s">
        <v>557</v>
      </c>
      <c r="D10" s="6" t="s">
        <v>557</v>
      </c>
      <c r="E10" s="6" t="s">
        <v>557</v>
      </c>
      <c r="F10" s="6" t="s">
        <v>584</v>
      </c>
      <c r="G10" s="6" t="s">
        <v>585</v>
      </c>
      <c r="H10" s="6" t="s">
        <v>586</v>
      </c>
    </row>
    <row r="11" customFormat="false" ht="35.05" hidden="false" customHeight="false" outlineLevel="0" collapsed="false">
      <c r="A11" s="6" t="s">
        <v>587</v>
      </c>
      <c r="B11" s="6" t="s">
        <v>588</v>
      </c>
      <c r="C11" s="6" t="s">
        <v>557</v>
      </c>
      <c r="D11" s="6" t="s">
        <v>557</v>
      </c>
      <c r="E11" s="6" t="s">
        <v>557</v>
      </c>
      <c r="F11" s="6" t="s">
        <v>589</v>
      </c>
      <c r="G11" s="6" t="s">
        <v>590</v>
      </c>
      <c r="H11" s="6" t="s">
        <v>591</v>
      </c>
    </row>
    <row r="12" customFormat="false" ht="35.05" hidden="false" customHeight="false" outlineLevel="0" collapsed="false">
      <c r="A12" s="6" t="s">
        <v>592</v>
      </c>
      <c r="B12" s="6" t="s">
        <v>557</v>
      </c>
      <c r="C12" s="6" t="s">
        <v>557</v>
      </c>
      <c r="D12" s="6" t="s">
        <v>557</v>
      </c>
      <c r="E12" s="6" t="s">
        <v>557</v>
      </c>
      <c r="F12" s="6" t="s">
        <v>593</v>
      </c>
      <c r="G12" s="6" t="s">
        <v>594</v>
      </c>
      <c r="H12" s="6" t="s">
        <v>595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4"/>
    <col collapsed="false" customWidth="true" hidden="false" outlineLevel="0" max="3" min="3" style="0" width="74"/>
  </cols>
  <sheetData>
    <row r="1" customFormat="false" ht="17.35" hidden="false" customHeight="false" outlineLevel="0" collapsed="false">
      <c r="A1" s="1" t="s">
        <v>596</v>
      </c>
      <c r="B1" s="1"/>
      <c r="C1" s="1"/>
    </row>
    <row r="2" customFormat="false" ht="25.5" hidden="false" customHeight="true" outlineLevel="0" collapsed="false">
      <c r="A2" s="2" t="s">
        <v>597</v>
      </c>
      <c r="B2" s="2"/>
      <c r="C2" s="2"/>
    </row>
    <row r="4" customFormat="false" ht="15" hidden="false" customHeight="false" outlineLevel="0" collapsed="false">
      <c r="A4" s="5" t="s">
        <v>598</v>
      </c>
      <c r="B4" s="5" t="s">
        <v>599</v>
      </c>
      <c r="C4" s="5" t="s">
        <v>600</v>
      </c>
    </row>
    <row r="5" customFormat="false" ht="15" hidden="false" customHeight="false" outlineLevel="0" collapsed="false">
      <c r="A5" s="6" t="s">
        <v>601</v>
      </c>
      <c r="B5" s="6" t="s">
        <v>338</v>
      </c>
      <c r="C5" s="6" t="s">
        <v>602</v>
      </c>
    </row>
    <row r="6" customFormat="false" ht="35.05" hidden="false" customHeight="false" outlineLevel="0" collapsed="false">
      <c r="A6" s="6" t="s">
        <v>603</v>
      </c>
      <c r="B6" s="6" t="s">
        <v>604</v>
      </c>
      <c r="C6" s="6" t="s">
        <v>605</v>
      </c>
    </row>
    <row r="7" customFormat="false" ht="23.85" hidden="false" customHeight="false" outlineLevel="0" collapsed="false">
      <c r="A7" s="6" t="s">
        <v>606</v>
      </c>
      <c r="B7" s="6" t="s">
        <v>607</v>
      </c>
      <c r="C7" s="6" t="s">
        <v>608</v>
      </c>
    </row>
    <row r="8" customFormat="false" ht="23.85" hidden="false" customHeight="false" outlineLevel="0" collapsed="false">
      <c r="A8" s="6" t="s">
        <v>609</v>
      </c>
      <c r="B8" s="6" t="s">
        <v>610</v>
      </c>
      <c r="C8" s="6" t="s">
        <v>611</v>
      </c>
    </row>
    <row r="9" customFormat="false" ht="23.85" hidden="false" customHeight="false" outlineLevel="0" collapsed="false">
      <c r="A9" s="6" t="s">
        <v>612</v>
      </c>
      <c r="B9" s="6" t="s">
        <v>613</v>
      </c>
      <c r="C9" s="6" t="s">
        <v>614</v>
      </c>
    </row>
    <row r="10" customFormat="false" ht="23.85" hidden="false" customHeight="false" outlineLevel="0" collapsed="false">
      <c r="A10" s="6" t="s">
        <v>615</v>
      </c>
      <c r="B10" s="6" t="s">
        <v>616</v>
      </c>
      <c r="C10" s="6" t="s">
        <v>617</v>
      </c>
    </row>
    <row r="11" customFormat="false" ht="23.85" hidden="false" customHeight="false" outlineLevel="0" collapsed="false">
      <c r="A11" s="6" t="s">
        <v>618</v>
      </c>
      <c r="B11" s="6" t="s">
        <v>619</v>
      </c>
      <c r="C11" s="6" t="s">
        <v>620</v>
      </c>
    </row>
    <row r="13" customFormat="false" ht="15" hidden="false" customHeight="false" outlineLevel="0" collapsed="false">
      <c r="A13" s="3" t="s">
        <v>621</v>
      </c>
    </row>
    <row r="14" customFormat="false" ht="15" hidden="false" customHeight="false" outlineLevel="0" collapsed="false">
      <c r="A14" s="5" t="s">
        <v>622</v>
      </c>
      <c r="B14" s="5" t="s">
        <v>623</v>
      </c>
      <c r="C14" s="5" t="s">
        <v>624</v>
      </c>
    </row>
    <row r="15" customFormat="false" ht="35.05" hidden="false" customHeight="false" outlineLevel="0" collapsed="false">
      <c r="A15" s="6" t="s">
        <v>625</v>
      </c>
      <c r="B15" s="6" t="s">
        <v>626</v>
      </c>
      <c r="C15" s="6" t="s">
        <v>627</v>
      </c>
    </row>
    <row r="16" customFormat="false" ht="23.85" hidden="false" customHeight="false" outlineLevel="0" collapsed="false">
      <c r="A16" s="6" t="s">
        <v>628</v>
      </c>
      <c r="B16" s="6" t="s">
        <v>629</v>
      </c>
      <c r="C16" s="6" t="s">
        <v>630</v>
      </c>
    </row>
    <row r="17" customFormat="false" ht="23.85" hidden="false" customHeight="false" outlineLevel="0" collapsed="false">
      <c r="A17" s="6" t="s">
        <v>631</v>
      </c>
      <c r="B17" s="6" t="s">
        <v>632</v>
      </c>
      <c r="C17" s="6" t="s">
        <v>633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1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8" min="6" style="0" width="14"/>
    <col collapsed="false" customWidth="true" hidden="false" outlineLevel="0" max="9" min="9" style="0" width="16"/>
    <col collapsed="false" customWidth="true" hidden="false" outlineLevel="0" max="11" min="10" style="0" width="14"/>
    <col collapsed="false" customWidth="true" hidden="false" outlineLevel="0" max="12" min="12" style="0" width="21"/>
    <col collapsed="false" customWidth="true" hidden="false" outlineLevel="0" max="13" min="13" style="0" width="14"/>
    <col collapsed="false" customWidth="true" hidden="false" outlineLevel="0" max="15" min="14" style="0" width="19"/>
  </cols>
  <sheetData>
    <row r="1" customFormat="false" ht="17.35" hidden="false" customHeight="false" outlineLevel="0" collapsed="false">
      <c r="A1" s="1" t="s">
        <v>634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5.5" hidden="false" customHeight="true" outlineLevel="0" collapsed="false">
      <c r="A2" s="2" t="s">
        <v>635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15" hidden="false" customHeight="false" outlineLevel="0" collapsed="false">
      <c r="A4" s="5" t="s">
        <v>636</v>
      </c>
      <c r="B4" s="5" t="s">
        <v>637</v>
      </c>
      <c r="C4" s="5" t="s">
        <v>638</v>
      </c>
      <c r="D4" s="5" t="s">
        <v>639</v>
      </c>
      <c r="E4" s="5" t="s">
        <v>640</v>
      </c>
      <c r="F4" s="5" t="s">
        <v>641</v>
      </c>
      <c r="G4" s="5" t="s">
        <v>642</v>
      </c>
      <c r="H4" s="5" t="s">
        <v>21</v>
      </c>
      <c r="I4" s="5" t="s">
        <v>643</v>
      </c>
      <c r="J4" s="5" t="s">
        <v>644</v>
      </c>
      <c r="K4" s="5" t="s">
        <v>645</v>
      </c>
      <c r="L4" s="5" t="s">
        <v>646</v>
      </c>
      <c r="M4" s="5" t="s">
        <v>18</v>
      </c>
      <c r="N4" s="5" t="s">
        <v>647</v>
      </c>
      <c r="O4" s="5" t="s">
        <v>648</v>
      </c>
    </row>
    <row r="5" customFormat="false" ht="53.7" hidden="false" customHeight="false" outlineLevel="0" collapsed="false">
      <c r="A5" s="15" t="s">
        <v>649</v>
      </c>
      <c r="B5" s="15" t="s">
        <v>650</v>
      </c>
      <c r="C5" s="15" t="s">
        <v>651</v>
      </c>
      <c r="D5" s="15" t="s">
        <v>652</v>
      </c>
      <c r="E5" s="15" t="s">
        <v>653</v>
      </c>
      <c r="F5" s="15" t="s">
        <v>654</v>
      </c>
      <c r="G5" s="15" t="s">
        <v>654</v>
      </c>
      <c r="H5" s="15" t="s">
        <v>655</v>
      </c>
      <c r="I5" s="15" t="s">
        <v>656</v>
      </c>
      <c r="J5" s="15" t="s">
        <v>657</v>
      </c>
      <c r="K5" s="15" t="s">
        <v>658</v>
      </c>
      <c r="L5" s="15" t="s">
        <v>659</v>
      </c>
      <c r="M5" s="15" t="s">
        <v>660</v>
      </c>
      <c r="N5" s="15" t="s">
        <v>661</v>
      </c>
      <c r="O5" s="15" t="s">
        <v>662</v>
      </c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7" customFormat="false" ht="15" hidden="false" customHeight="false" outlineLevel="0" collapsed="false">
      <c r="A27" s="16" t="s">
        <v>663</v>
      </c>
    </row>
  </sheetData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3" min="3" style="0" width="17"/>
    <col collapsed="false" customWidth="true" hidden="false" outlineLevel="0" max="4" min="4" style="0" width="35"/>
    <col collapsed="false" customWidth="true" hidden="false" outlineLevel="0" max="5" min="5" style="0" width="40"/>
    <col collapsed="false" customWidth="true" hidden="false" outlineLevel="0" max="7" min="6" style="0" width="37"/>
    <col collapsed="false" customWidth="true" hidden="false" outlineLevel="0" max="9" min="8" style="0" width="46"/>
    <col collapsed="false" customWidth="true" hidden="false" outlineLevel="0" max="10" min="10" style="0" width="44"/>
    <col collapsed="false" customWidth="true" hidden="false" outlineLevel="0" max="11" min="11" style="0" width="26"/>
    <col collapsed="false" customWidth="true" hidden="false" outlineLevel="0" max="12" min="12" style="0" width="22"/>
    <col collapsed="false" customWidth="true" hidden="false" outlineLevel="0" max="13" min="13" style="0" width="31"/>
    <col collapsed="false" customWidth="true" hidden="false" outlineLevel="0" max="14" min="14" style="0" width="24"/>
    <col collapsed="false" customWidth="true" hidden="false" outlineLevel="0" max="15" min="15" style="0" width="28"/>
    <col collapsed="false" customWidth="true" hidden="false" outlineLevel="0" max="16" min="16" style="0" width="31"/>
  </cols>
  <sheetData>
    <row r="1" customFormat="false" ht="17.35" hidden="false" customHeight="false" outlineLevel="0" collapsed="false">
      <c r="A1" s="1" t="s">
        <v>664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5.5" hidden="false" customHeight="true" outlineLevel="0" collapsed="false">
      <c r="A2" s="2" t="s">
        <v>665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15" hidden="false" customHeight="false" outlineLevel="0" collapsed="false">
      <c r="A4" s="5" t="s">
        <v>666</v>
      </c>
      <c r="B4" s="5" t="s">
        <v>667</v>
      </c>
      <c r="C4" s="5" t="s">
        <v>668</v>
      </c>
      <c r="D4" s="5" t="s">
        <v>669</v>
      </c>
      <c r="E4" s="5" t="s">
        <v>670</v>
      </c>
      <c r="F4" s="5" t="s">
        <v>671</v>
      </c>
      <c r="G4" s="5" t="s">
        <v>672</v>
      </c>
      <c r="H4" s="5" t="s">
        <v>673</v>
      </c>
      <c r="I4" s="5" t="s">
        <v>674</v>
      </c>
      <c r="J4" s="5" t="s">
        <v>675</v>
      </c>
      <c r="K4" s="5" t="s">
        <v>676</v>
      </c>
      <c r="L4" s="5" t="s">
        <v>677</v>
      </c>
      <c r="M4" s="5" t="s">
        <v>678</v>
      </c>
      <c r="N4" s="5" t="s">
        <v>679</v>
      </c>
      <c r="O4" s="5" t="s">
        <v>680</v>
      </c>
      <c r="P4" s="5" t="s">
        <v>681</v>
      </c>
    </row>
    <row r="5" customFormat="false" ht="22.35" hidden="false" customHeight="false" outlineLevel="0" collapsed="false">
      <c r="A5" s="15" t="s">
        <v>682</v>
      </c>
      <c r="B5" s="15" t="s">
        <v>683</v>
      </c>
      <c r="C5" s="15" t="s">
        <v>684</v>
      </c>
      <c r="D5" s="15" t="s">
        <v>685</v>
      </c>
      <c r="E5" s="15" t="s">
        <v>686</v>
      </c>
      <c r="F5" s="15" t="s">
        <v>687</v>
      </c>
      <c r="G5" s="15" t="s">
        <v>688</v>
      </c>
      <c r="H5" s="15" t="s">
        <v>689</v>
      </c>
      <c r="I5" s="15" t="s">
        <v>690</v>
      </c>
      <c r="J5" s="15" t="s">
        <v>691</v>
      </c>
      <c r="K5" s="15" t="s">
        <v>692</v>
      </c>
      <c r="L5" s="15" t="s">
        <v>693</v>
      </c>
      <c r="M5" s="15" t="s">
        <v>694</v>
      </c>
      <c r="N5" s="15" t="s">
        <v>52</v>
      </c>
      <c r="O5" s="15" t="s">
        <v>695</v>
      </c>
      <c r="P5" s="15" t="s">
        <v>696</v>
      </c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7" customFormat="false" ht="15" hidden="false" customHeight="false" outlineLevel="0" collapsed="false">
      <c r="A27" s="16" t="s">
        <v>663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9"/>
    <col collapsed="false" customWidth="true" hidden="false" outlineLevel="0" max="3" min="3" style="0" width="14"/>
    <col collapsed="false" customWidth="true" hidden="false" outlineLevel="0" max="4" min="4" style="0" width="44"/>
    <col collapsed="false" customWidth="true" hidden="false" outlineLevel="0" max="6" min="5" style="0" width="37"/>
    <col collapsed="false" customWidth="true" hidden="false" outlineLevel="0" max="7" min="7" style="0" width="16"/>
    <col collapsed="false" customWidth="true" hidden="false" outlineLevel="0" max="8" min="8" style="0" width="23"/>
    <col collapsed="false" customWidth="true" hidden="false" outlineLevel="0" max="9" min="9" style="0" width="30"/>
    <col collapsed="false" customWidth="true" hidden="false" outlineLevel="0" max="10" min="10" style="0" width="29"/>
    <col collapsed="false" customWidth="true" hidden="false" outlineLevel="0" max="11" min="11" style="0" width="27"/>
    <col collapsed="false" customWidth="true" hidden="false" outlineLevel="0" max="12" min="12" style="0" width="34"/>
    <col collapsed="false" customWidth="true" hidden="false" outlineLevel="0" max="13" min="13" style="0" width="19"/>
    <col collapsed="false" customWidth="true" hidden="false" outlineLevel="0" max="14" min="14" style="0" width="35"/>
    <col collapsed="false" customWidth="true" hidden="false" outlineLevel="0" max="15" min="15" style="0" width="14"/>
  </cols>
  <sheetData>
    <row r="1" customFormat="false" ht="17.35" hidden="false" customHeight="false" outlineLevel="0" collapsed="false">
      <c r="A1" s="1" t="s">
        <v>697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5.5" hidden="false" customHeight="true" outlineLevel="0" collapsed="false">
      <c r="A2" s="2" t="s">
        <v>698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15" hidden="false" customHeight="false" outlineLevel="0" collapsed="false">
      <c r="A4" s="5" t="s">
        <v>699</v>
      </c>
      <c r="B4" s="5" t="s">
        <v>700</v>
      </c>
      <c r="C4" s="5" t="s">
        <v>638</v>
      </c>
      <c r="D4" s="5" t="s">
        <v>701</v>
      </c>
      <c r="E4" s="5" t="s">
        <v>702</v>
      </c>
      <c r="F4" s="5" t="s">
        <v>703</v>
      </c>
      <c r="G4" s="5" t="s">
        <v>704</v>
      </c>
      <c r="H4" s="5" t="s">
        <v>705</v>
      </c>
      <c r="I4" s="5" t="s">
        <v>706</v>
      </c>
      <c r="J4" s="5" t="s">
        <v>707</v>
      </c>
      <c r="K4" s="5" t="s">
        <v>708</v>
      </c>
      <c r="L4" s="5" t="s">
        <v>709</v>
      </c>
      <c r="M4" s="5" t="s">
        <v>710</v>
      </c>
      <c r="N4" s="5" t="s">
        <v>711</v>
      </c>
      <c r="O4" s="5" t="s">
        <v>18</v>
      </c>
    </row>
    <row r="5" customFormat="false" ht="32.8" hidden="false" customHeight="false" outlineLevel="0" collapsed="false">
      <c r="A5" s="15" t="s">
        <v>712</v>
      </c>
      <c r="B5" s="15" t="s">
        <v>713</v>
      </c>
      <c r="C5" s="15" t="s">
        <v>714</v>
      </c>
      <c r="D5" s="15" t="s">
        <v>715</v>
      </c>
      <c r="E5" s="15" t="s">
        <v>716</v>
      </c>
      <c r="F5" s="15" t="s">
        <v>717</v>
      </c>
      <c r="G5" s="15" t="s">
        <v>718</v>
      </c>
      <c r="H5" s="15" t="s">
        <v>719</v>
      </c>
      <c r="I5" s="15" t="s">
        <v>655</v>
      </c>
      <c r="J5" s="15" t="s">
        <v>720</v>
      </c>
      <c r="K5" s="15" t="s">
        <v>721</v>
      </c>
      <c r="L5" s="15" t="s">
        <v>722</v>
      </c>
      <c r="M5" s="15" t="s">
        <v>723</v>
      </c>
      <c r="N5" s="15" t="s">
        <v>724</v>
      </c>
      <c r="O5" s="15" t="s">
        <v>660</v>
      </c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7" customFormat="false" ht="15" hidden="false" customHeight="false" outlineLevel="0" collapsed="false">
      <c r="A27" s="16" t="s">
        <v>663</v>
      </c>
    </row>
  </sheetData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6"/>
    <col collapsed="false" customWidth="true" hidden="false" outlineLevel="0" max="3" min="3" style="0" width="21"/>
    <col collapsed="false" customWidth="true" hidden="false" outlineLevel="0" max="4" min="4" style="0" width="17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46"/>
    <col collapsed="false" customWidth="true" hidden="false" outlineLevel="0" max="8" min="8" style="0" width="14"/>
    <col collapsed="false" customWidth="true" hidden="false" outlineLevel="0" max="9" min="9" style="0" width="36"/>
    <col collapsed="false" customWidth="true" hidden="false" outlineLevel="0" max="10" min="10" style="0" width="31"/>
    <col collapsed="false" customWidth="true" hidden="false" outlineLevel="0" max="11" min="11" style="0" width="37"/>
    <col collapsed="false" customWidth="true" hidden="false" outlineLevel="0" max="12" min="12" style="0" width="36"/>
    <col collapsed="false" customWidth="true" hidden="false" outlineLevel="0" max="13" min="13" style="0" width="35"/>
    <col collapsed="false" customWidth="true" hidden="false" outlineLevel="0" max="14" min="14" style="0" width="36"/>
    <col collapsed="false" customWidth="true" hidden="false" outlineLevel="0" max="15" min="15" style="0" width="17"/>
    <col collapsed="false" customWidth="true" hidden="false" outlineLevel="0" max="16" min="16" style="0" width="33"/>
    <col collapsed="false" customWidth="true" hidden="false" outlineLevel="0" max="17" min="17" style="0" width="22"/>
    <col collapsed="false" customWidth="true" hidden="false" outlineLevel="0" max="18" min="18" style="0" width="37"/>
  </cols>
  <sheetData>
    <row r="1" customFormat="false" ht="17.35" hidden="false" customHeight="false" outlineLevel="0" collapsed="false">
      <c r="A1" s="1" t="s">
        <v>725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5.5" hidden="false" customHeight="true" outlineLevel="0" collapsed="false">
      <c r="A2" s="2" t="s">
        <v>726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23.85" hidden="false" customHeight="false" outlineLevel="0" collapsed="false">
      <c r="A4" s="5" t="s">
        <v>727</v>
      </c>
      <c r="B4" s="5" t="s">
        <v>728</v>
      </c>
      <c r="C4" s="5" t="s">
        <v>729</v>
      </c>
      <c r="D4" s="5" t="s">
        <v>668</v>
      </c>
      <c r="E4" s="5" t="s">
        <v>730</v>
      </c>
      <c r="F4" s="5" t="s">
        <v>731</v>
      </c>
      <c r="G4" s="5" t="s">
        <v>732</v>
      </c>
      <c r="H4" s="5" t="s">
        <v>733</v>
      </c>
      <c r="I4" s="5" t="s">
        <v>734</v>
      </c>
      <c r="J4" s="5" t="s">
        <v>735</v>
      </c>
      <c r="K4" s="5" t="s">
        <v>736</v>
      </c>
      <c r="L4" s="5" t="s">
        <v>737</v>
      </c>
      <c r="M4" s="5" t="s">
        <v>738</v>
      </c>
      <c r="N4" s="5" t="s">
        <v>739</v>
      </c>
      <c r="O4" s="5" t="s">
        <v>740</v>
      </c>
      <c r="P4" s="5" t="s">
        <v>741</v>
      </c>
      <c r="Q4" s="5" t="s">
        <v>742</v>
      </c>
      <c r="R4" s="5" t="s">
        <v>743</v>
      </c>
    </row>
    <row r="5" customFormat="false" ht="43.25" hidden="false" customHeight="false" outlineLevel="0" collapsed="false">
      <c r="A5" s="15" t="s">
        <v>744</v>
      </c>
      <c r="B5" s="15" t="s">
        <v>745</v>
      </c>
      <c r="C5" s="15" t="s">
        <v>746</v>
      </c>
      <c r="D5" s="15" t="s">
        <v>747</v>
      </c>
      <c r="E5" s="15" t="s">
        <v>748</v>
      </c>
      <c r="F5" s="15" t="s">
        <v>749</v>
      </c>
      <c r="G5" s="15" t="s">
        <v>750</v>
      </c>
      <c r="H5" s="15" t="s">
        <v>751</v>
      </c>
      <c r="I5" s="15" t="s">
        <v>752</v>
      </c>
      <c r="J5" s="15" t="s">
        <v>752</v>
      </c>
      <c r="K5" s="15" t="s">
        <v>753</v>
      </c>
      <c r="L5" s="15" t="s">
        <v>754</v>
      </c>
      <c r="M5" s="15" t="s">
        <v>755</v>
      </c>
      <c r="N5" s="15" t="s">
        <v>756</v>
      </c>
      <c r="O5" s="15" t="s">
        <v>757</v>
      </c>
      <c r="P5" s="15" t="s">
        <v>758</v>
      </c>
      <c r="Q5" s="15" t="s">
        <v>759</v>
      </c>
      <c r="R5" s="15" t="s">
        <v>760</v>
      </c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7" customFormat="false" ht="15" hidden="false" customHeight="false" outlineLevel="0" collapsed="false">
      <c r="A27" s="16" t="s">
        <v>663</v>
      </c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4"/>
    <col collapsed="false" customWidth="true" hidden="false" outlineLevel="0" max="3" min="3" style="0" width="23"/>
    <col collapsed="false" customWidth="true" hidden="false" outlineLevel="0" max="4" min="4" style="0" width="26"/>
    <col collapsed="false" customWidth="true" hidden="false" outlineLevel="0" max="5" min="5" style="0" width="17"/>
    <col collapsed="false" customWidth="true" hidden="false" outlineLevel="0" max="6" min="6" style="0" width="25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24"/>
    <col collapsed="false" customWidth="true" hidden="false" outlineLevel="0" max="10" min="10" style="0" width="23"/>
    <col collapsed="false" customWidth="true" hidden="false" outlineLevel="0" max="11" min="11" style="0" width="26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1" t="s">
        <v>761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5.5" hidden="false" customHeight="true" outlineLevel="0" collapsed="false">
      <c r="A2" s="2" t="s">
        <v>762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5" t="s">
        <v>763</v>
      </c>
      <c r="B4" s="5" t="s">
        <v>667</v>
      </c>
      <c r="C4" s="5" t="s">
        <v>764</v>
      </c>
      <c r="D4" s="5" t="s">
        <v>765</v>
      </c>
      <c r="E4" s="5" t="s">
        <v>766</v>
      </c>
      <c r="F4" s="5" t="s">
        <v>767</v>
      </c>
      <c r="G4" s="5" t="s">
        <v>768</v>
      </c>
      <c r="H4" s="5" t="s">
        <v>769</v>
      </c>
      <c r="I4" s="5" t="s">
        <v>770</v>
      </c>
      <c r="J4" s="5" t="s">
        <v>771</v>
      </c>
      <c r="K4" s="5" t="s">
        <v>772</v>
      </c>
      <c r="L4" s="5" t="s">
        <v>18</v>
      </c>
    </row>
    <row r="5" customFormat="false" ht="32.8" hidden="false" customHeight="false" outlineLevel="0" collapsed="false">
      <c r="A5" s="15" t="s">
        <v>773</v>
      </c>
      <c r="B5" s="15" t="s">
        <v>774</v>
      </c>
      <c r="C5" s="15" t="s">
        <v>775</v>
      </c>
      <c r="D5" s="15" t="s">
        <v>776</v>
      </c>
      <c r="E5" s="15" t="s">
        <v>52</v>
      </c>
      <c r="F5" s="15" t="s">
        <v>777</v>
      </c>
      <c r="G5" s="15" t="s">
        <v>778</v>
      </c>
      <c r="H5" s="15" t="s">
        <v>779</v>
      </c>
      <c r="I5" s="15" t="s">
        <v>780</v>
      </c>
      <c r="J5" s="15" t="s">
        <v>781</v>
      </c>
      <c r="K5" s="15" t="s">
        <v>782</v>
      </c>
      <c r="L5" s="15" t="s">
        <v>660</v>
      </c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7" customFormat="false" ht="15" hidden="false" customHeight="false" outlineLevel="0" collapsed="false">
      <c r="A27" s="16" t="s">
        <v>663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783</v>
      </c>
      <c r="B1" s="1"/>
      <c r="C1" s="1"/>
      <c r="D1" s="1"/>
      <c r="E1" s="1"/>
      <c r="F1" s="1"/>
      <c r="G1" s="1"/>
    </row>
    <row r="2" customFormat="false" ht="25.5" hidden="false" customHeight="true" outlineLevel="0" collapsed="false">
      <c r="A2" s="2" t="s">
        <v>784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5" t="s">
        <v>92</v>
      </c>
      <c r="B4" s="5" t="s">
        <v>785</v>
      </c>
      <c r="C4" s="5" t="s">
        <v>786</v>
      </c>
      <c r="D4" s="5" t="s">
        <v>787</v>
      </c>
      <c r="E4" s="5" t="s">
        <v>788</v>
      </c>
      <c r="F4" s="5" t="s">
        <v>789</v>
      </c>
      <c r="G4" s="5" t="s">
        <v>790</v>
      </c>
    </row>
    <row r="5" customFormat="false" ht="23.85" hidden="false" customHeight="false" outlineLevel="0" collapsed="false">
      <c r="A5" s="6" t="s">
        <v>102</v>
      </c>
      <c r="B5" s="6" t="s">
        <v>791</v>
      </c>
      <c r="C5" s="6" t="s">
        <v>792</v>
      </c>
      <c r="D5" s="6" t="s">
        <v>793</v>
      </c>
      <c r="E5" s="6" t="s">
        <v>794</v>
      </c>
      <c r="F5" s="7"/>
      <c r="G5" s="7"/>
    </row>
    <row r="6" customFormat="false" ht="23.85" hidden="false" customHeight="false" outlineLevel="0" collapsed="false">
      <c r="A6" s="6" t="s">
        <v>102</v>
      </c>
      <c r="B6" s="6" t="s">
        <v>795</v>
      </c>
      <c r="C6" s="6" t="s">
        <v>796</v>
      </c>
      <c r="D6" s="6" t="s">
        <v>793</v>
      </c>
      <c r="E6" s="6" t="s">
        <v>797</v>
      </c>
      <c r="F6" s="7"/>
      <c r="G6" s="7"/>
    </row>
    <row r="7" customFormat="false" ht="23.85" hidden="false" customHeight="false" outlineLevel="0" collapsed="false">
      <c r="A7" s="6" t="s">
        <v>102</v>
      </c>
      <c r="B7" s="6" t="s">
        <v>798</v>
      </c>
      <c r="C7" s="6" t="s">
        <v>799</v>
      </c>
      <c r="D7" s="6" t="s">
        <v>800</v>
      </c>
      <c r="E7" s="6" t="s">
        <v>801</v>
      </c>
      <c r="F7" s="7"/>
      <c r="G7" s="7"/>
    </row>
    <row r="8" customFormat="false" ht="23.85" hidden="false" customHeight="false" outlineLevel="0" collapsed="false">
      <c r="A8" s="6" t="s">
        <v>102</v>
      </c>
      <c r="B8" s="6" t="s">
        <v>802</v>
      </c>
      <c r="C8" s="6" t="s">
        <v>803</v>
      </c>
      <c r="D8" s="6" t="s">
        <v>804</v>
      </c>
      <c r="E8" s="6" t="s">
        <v>805</v>
      </c>
      <c r="F8" s="7"/>
      <c r="G8" s="7"/>
    </row>
    <row r="9" customFormat="false" ht="23.85" hidden="false" customHeight="false" outlineLevel="0" collapsed="false">
      <c r="A9" s="6" t="s">
        <v>102</v>
      </c>
      <c r="B9" s="6" t="s">
        <v>806</v>
      </c>
      <c r="C9" s="6" t="s">
        <v>807</v>
      </c>
      <c r="D9" s="6" t="s">
        <v>808</v>
      </c>
      <c r="E9" s="6" t="s">
        <v>809</v>
      </c>
      <c r="F9" s="7"/>
      <c r="G9" s="7"/>
    </row>
    <row r="10" customFormat="false" ht="23.85" hidden="false" customHeight="false" outlineLevel="0" collapsed="false">
      <c r="A10" s="6" t="s">
        <v>120</v>
      </c>
      <c r="B10" s="6" t="s">
        <v>810</v>
      </c>
      <c r="C10" s="6" t="s">
        <v>811</v>
      </c>
      <c r="D10" s="6" t="s">
        <v>793</v>
      </c>
      <c r="E10" s="6" t="s">
        <v>812</v>
      </c>
      <c r="F10" s="7"/>
      <c r="G10" s="7"/>
    </row>
    <row r="11" customFormat="false" ht="23.85" hidden="false" customHeight="false" outlineLevel="0" collapsed="false">
      <c r="A11" s="6" t="s">
        <v>120</v>
      </c>
      <c r="B11" s="6" t="s">
        <v>813</v>
      </c>
      <c r="C11" s="6" t="s">
        <v>814</v>
      </c>
      <c r="D11" s="6" t="s">
        <v>815</v>
      </c>
      <c r="E11" s="6" t="s">
        <v>816</v>
      </c>
      <c r="F11" s="7"/>
      <c r="G11" s="7"/>
    </row>
    <row r="12" customFormat="false" ht="23.85" hidden="false" customHeight="false" outlineLevel="0" collapsed="false">
      <c r="A12" s="6" t="s">
        <v>120</v>
      </c>
      <c r="B12" s="6" t="s">
        <v>817</v>
      </c>
      <c r="C12" s="6" t="s">
        <v>590</v>
      </c>
      <c r="D12" s="6" t="s">
        <v>793</v>
      </c>
      <c r="E12" s="6" t="s">
        <v>818</v>
      </c>
      <c r="F12" s="7"/>
      <c r="G12" s="7"/>
    </row>
    <row r="13" customFormat="false" ht="15" hidden="false" customHeight="false" outlineLevel="0" collapsed="false">
      <c r="A13" s="6" t="s">
        <v>120</v>
      </c>
      <c r="B13" s="6" t="s">
        <v>819</v>
      </c>
      <c r="C13" s="6" t="s">
        <v>820</v>
      </c>
      <c r="D13" s="6" t="s">
        <v>793</v>
      </c>
      <c r="E13" s="6" t="s">
        <v>821</v>
      </c>
      <c r="F13" s="7"/>
      <c r="G13" s="7"/>
    </row>
    <row r="14" customFormat="false" ht="23.85" hidden="false" customHeight="false" outlineLevel="0" collapsed="false">
      <c r="A14" s="6" t="s">
        <v>120</v>
      </c>
      <c r="B14" s="6" t="s">
        <v>822</v>
      </c>
      <c r="C14" s="6" t="s">
        <v>823</v>
      </c>
      <c r="D14" s="6" t="s">
        <v>824</v>
      </c>
      <c r="E14" s="6" t="s">
        <v>825</v>
      </c>
      <c r="F14" s="7"/>
      <c r="G14" s="7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2026-09-02T23:55:29Z</dcterms:created>
  <dc:creator>openpyxl</dc:creator>
  <dc:description/>
  <dc:language>en-US</dc:language>
  <cp:lastModifiedBy/>
  <dcterms:modified xsi:type="dcterms:W3CDTF">2026-09-02T23:55:29Z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